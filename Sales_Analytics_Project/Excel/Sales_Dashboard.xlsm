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tables/table1.xml" ContentType="application/vnd.openxmlformats-officedocument.spreadsheetml.table+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d22fd5af89619b0d/Desktop/Sales_Analytics_Project/Excel/"/>
    </mc:Choice>
  </mc:AlternateContent>
  <xr:revisionPtr revIDLastSave="0" documentId="13_ncr:1_{9454383F-7E6A-42FD-90C1-C074B34896AF}" xr6:coauthVersionLast="47" xr6:coauthVersionMax="47" xr10:uidLastSave="{00000000-0000-0000-0000-000000000000}"/>
  <bookViews>
    <workbookView xWindow="0" yWindow="900" windowWidth="17280" windowHeight="7392" firstSheet="4" activeTab="5" xr2:uid="{00000000-000D-0000-FFFF-FFFF00000000}"/>
  </bookViews>
  <sheets>
    <sheet name="RAW DATA" sheetId="1" r:id="rId1"/>
    <sheet name="CLEANED REPORT " sheetId="7" r:id="rId2"/>
    <sheet name="PRODUCTLINE SALES " sheetId="6" r:id="rId3"/>
    <sheet name="CITY SALES " sheetId="4" r:id="rId4"/>
    <sheet name="CUSTOMER SALES " sheetId="5" r:id="rId5"/>
    <sheet name="MOTHLY SALES " sheetId="3" r:id="rId6"/>
    <sheet name="BUSINESS ACTION" sheetId="8" r:id="rId7"/>
  </sheets>
  <definedNames>
    <definedName name="_xlnm._FilterDatabase" localSheetId="0" hidden="1">'RAW DATA'!$A$6:$Z$154</definedName>
    <definedName name="Slicer_CITY">#N/A</definedName>
    <definedName name="Slicer_DEALSIZE">#N/A</definedName>
    <definedName name="Slicer_DEALSIZE1">#N/A</definedName>
    <definedName name="Slicer_PRODUCTLINE">#N/A</definedName>
    <definedName name="Slicer_YEAR_ID2">#N/A</definedName>
    <definedName name="Slicer_YEAR_ID3">#N/A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8" i="7" l="1"/>
  <c r="L17" i="7"/>
  <c r="L16" i="7"/>
  <c r="L15" i="7"/>
  <c r="L14" i="7"/>
  <c r="L13" i="7"/>
  <c r="K18" i="7"/>
  <c r="K17" i="7"/>
  <c r="K16" i="7"/>
  <c r="K15" i="7"/>
  <c r="K13" i="7"/>
  <c r="K14" i="7"/>
  <c r="K19" i="7"/>
  <c r="J21" i="1"/>
  <c r="J13" i="1"/>
  <c r="J15" i="1"/>
  <c r="J12" i="1"/>
  <c r="J16" i="1"/>
  <c r="J22" i="1"/>
  <c r="J2" i="1"/>
  <c r="J8" i="1"/>
  <c r="J14" i="1"/>
  <c r="J20" i="1"/>
  <c r="J4" i="1"/>
  <c r="J9" i="1"/>
  <c r="J3" i="1"/>
  <c r="J19" i="1"/>
  <c r="J6" i="1"/>
  <c r="J25" i="1"/>
  <c r="J7" i="1"/>
  <c r="J10" i="1"/>
  <c r="J24" i="1"/>
  <c r="J26" i="1"/>
  <c r="J11" i="1"/>
  <c r="J17" i="1"/>
  <c r="J18" i="1"/>
  <c r="J5" i="1"/>
  <c r="J23" i="1"/>
  <c r="J27" i="1"/>
  <c r="J40" i="1"/>
  <c r="J44" i="1"/>
  <c r="J43" i="1"/>
  <c r="J45" i="1"/>
  <c r="J32" i="1"/>
  <c r="J34" i="1"/>
  <c r="J36" i="1"/>
  <c r="J37" i="1"/>
  <c r="J35" i="1"/>
  <c r="J33" i="1"/>
  <c r="J28" i="1"/>
  <c r="J47" i="1"/>
  <c r="J46" i="1"/>
  <c r="J29" i="1"/>
  <c r="J38" i="1"/>
  <c r="J30" i="1"/>
  <c r="J31" i="1"/>
  <c r="J41" i="1"/>
  <c r="J42" i="1"/>
  <c r="J39" i="1"/>
  <c r="J49" i="1"/>
  <c r="J48" i="1"/>
  <c r="J53" i="1"/>
  <c r="J54" i="1"/>
  <c r="J50" i="1"/>
  <c r="J55" i="1"/>
  <c r="J64" i="1"/>
  <c r="J66" i="1"/>
  <c r="J58" i="1"/>
  <c r="J67" i="1"/>
  <c r="J57" i="1"/>
  <c r="J68" i="1"/>
  <c r="J65" i="1"/>
  <c r="J61" i="1"/>
  <c r="J62" i="1"/>
  <c r="J63" i="1"/>
  <c r="J56" i="1"/>
  <c r="J60" i="1"/>
  <c r="J59" i="1"/>
  <c r="J51" i="1"/>
  <c r="J52" i="1"/>
  <c r="J71" i="1"/>
  <c r="J79" i="1"/>
  <c r="J78" i="1"/>
  <c r="J74" i="1"/>
  <c r="J75" i="1"/>
  <c r="J69" i="1"/>
  <c r="J76" i="1"/>
  <c r="J73" i="1"/>
  <c r="J72" i="1"/>
  <c r="J87" i="1"/>
  <c r="J84" i="1"/>
  <c r="J88" i="1"/>
  <c r="J89" i="1"/>
  <c r="J80" i="1"/>
  <c r="J77" i="1"/>
  <c r="J81" i="1"/>
  <c r="J82" i="1"/>
  <c r="J86" i="1"/>
  <c r="J70" i="1"/>
  <c r="J83" i="1"/>
  <c r="J85" i="1"/>
  <c r="J122" i="1"/>
  <c r="J116" i="1"/>
  <c r="J120" i="1"/>
  <c r="J127" i="1"/>
  <c r="J111" i="1"/>
  <c r="J125" i="1"/>
  <c r="J118" i="1"/>
  <c r="J129" i="1"/>
  <c r="J128" i="1"/>
  <c r="J112" i="1"/>
  <c r="J117" i="1"/>
  <c r="J123" i="1"/>
  <c r="J140" i="1"/>
  <c r="J145" i="1"/>
  <c r="J141" i="1"/>
  <c r="J147" i="1"/>
  <c r="J146" i="1"/>
  <c r="J110" i="1"/>
  <c r="J109" i="1"/>
  <c r="J114" i="1"/>
  <c r="J126" i="1"/>
  <c r="J115" i="1"/>
  <c r="J105" i="1"/>
  <c r="J104" i="1"/>
  <c r="J98" i="1"/>
  <c r="J130" i="1"/>
  <c r="J134" i="1"/>
  <c r="J124" i="1"/>
  <c r="J131" i="1"/>
  <c r="J136" i="1"/>
  <c r="J142" i="1"/>
  <c r="J143" i="1"/>
  <c r="J113" i="1"/>
  <c r="J90" i="1"/>
  <c r="J133" i="1"/>
  <c r="J138" i="1"/>
  <c r="J132" i="1"/>
  <c r="J144" i="1"/>
  <c r="J139" i="1"/>
  <c r="J103" i="1"/>
  <c r="J96" i="1"/>
  <c r="J95" i="1"/>
  <c r="J121" i="1"/>
  <c r="J135" i="1"/>
  <c r="J137" i="1"/>
  <c r="J108" i="1"/>
  <c r="J101" i="1"/>
  <c r="J97" i="1"/>
  <c r="J99" i="1"/>
  <c r="J119" i="1"/>
  <c r="J107" i="1"/>
  <c r="J93" i="1"/>
  <c r="J106" i="1"/>
  <c r="J94" i="1"/>
  <c r="J102" i="1"/>
  <c r="J91" i="1"/>
  <c r="J100" i="1"/>
  <c r="J92" i="1"/>
  <c r="L19" i="7" l="1"/>
</calcChain>
</file>

<file path=xl/sharedStrings.xml><?xml version="1.0" encoding="utf-8"?>
<sst xmlns="http://schemas.openxmlformats.org/spreadsheetml/2006/main" count="2774" uniqueCount="210">
  <si>
    <t>ORDERNUMBER</t>
  </si>
  <si>
    <t>QUANTITYORDERED</t>
  </si>
  <si>
    <t>UNIT PRICE</t>
  </si>
  <si>
    <t>ORDERLINENUMBER</t>
  </si>
  <si>
    <t>ORDERDATE</t>
  </si>
  <si>
    <t>STATUS</t>
  </si>
  <si>
    <t>QTR_ID</t>
  </si>
  <si>
    <t>MONTH_ID</t>
  </si>
  <si>
    <t>YEAR_ID</t>
  </si>
  <si>
    <t>PRODUCTLINE</t>
  </si>
  <si>
    <t>MSRP</t>
  </si>
  <si>
    <t>PRODUCTCODE</t>
  </si>
  <si>
    <t>PHONE</t>
  </si>
  <si>
    <t>ADDRESSLINE1</t>
  </si>
  <si>
    <t>ADDRESSLINE2</t>
  </si>
  <si>
    <t>CITY</t>
  </si>
  <si>
    <t>STATE</t>
  </si>
  <si>
    <t>POSTALCODE</t>
  </si>
  <si>
    <t>COUNTRY</t>
  </si>
  <si>
    <t>TERRITORY</t>
  </si>
  <si>
    <t>CONTACTLASTNAME</t>
  </si>
  <si>
    <t>CONTACTFIRSTNAME</t>
  </si>
  <si>
    <t>DEALSIZE</t>
  </si>
  <si>
    <t>Shipped</t>
  </si>
  <si>
    <t>Motorcycles</t>
  </si>
  <si>
    <t>S10_1678</t>
  </si>
  <si>
    <t>Australian Collectors, Co.</t>
  </si>
  <si>
    <t>03 9520 4555</t>
  </si>
  <si>
    <t>636 St Kilda Road</t>
  </si>
  <si>
    <t>Level 3</t>
  </si>
  <si>
    <t>Melbourne</t>
  </si>
  <si>
    <t>Victoria</t>
  </si>
  <si>
    <t>3004</t>
  </si>
  <si>
    <t>Australia</t>
  </si>
  <si>
    <t>APAC</t>
  </si>
  <si>
    <t>Ferguson</t>
  </si>
  <si>
    <t>Peter</t>
  </si>
  <si>
    <t>Medium</t>
  </si>
  <si>
    <t>Classic Cars</t>
  </si>
  <si>
    <t>S10_1949</t>
  </si>
  <si>
    <t>Souveniers And Things Co.</t>
  </si>
  <si>
    <t>+61 2 9495 8555</t>
  </si>
  <si>
    <t>Monitor Money Building, 815 Pacific Hwy</t>
  </si>
  <si>
    <t>Level 6</t>
  </si>
  <si>
    <t>Chatswood</t>
  </si>
  <si>
    <t>NSW</t>
  </si>
  <si>
    <t>2067</t>
  </si>
  <si>
    <t>Huxley</t>
  </si>
  <si>
    <t>Adrian</t>
  </si>
  <si>
    <t>Anna's Decorations, Ltd</t>
  </si>
  <si>
    <t>02 9936 8555</t>
  </si>
  <si>
    <t>201 Miller Street</t>
  </si>
  <si>
    <t>Level 15</t>
  </si>
  <si>
    <t>North Sydney</t>
  </si>
  <si>
    <t>2060</t>
  </si>
  <si>
    <t>O'Hara</t>
  </si>
  <si>
    <t>Anna</t>
  </si>
  <si>
    <t>Small</t>
  </si>
  <si>
    <t>S10_2016</t>
  </si>
  <si>
    <t>S10_4698</t>
  </si>
  <si>
    <t>Large</t>
  </si>
  <si>
    <t>S10_4962</t>
  </si>
  <si>
    <t>S12_1099</t>
  </si>
  <si>
    <t>Trucks and Buses</t>
  </si>
  <si>
    <t>S12_1666</t>
  </si>
  <si>
    <t>S12_2823</t>
  </si>
  <si>
    <t>S12_3990</t>
  </si>
  <si>
    <t>S18_1097</t>
  </si>
  <si>
    <t>S18_1129</t>
  </si>
  <si>
    <t>Vintage Cars</t>
  </si>
  <si>
    <t>S18_1342</t>
  </si>
  <si>
    <t>S18_1367</t>
  </si>
  <si>
    <t>S18_1589</t>
  </si>
  <si>
    <t>In Process</t>
  </si>
  <si>
    <t>S18_1749</t>
  </si>
  <si>
    <t>S18_1889</t>
  </si>
  <si>
    <t>S18_1984</t>
  </si>
  <si>
    <t>S18_2248</t>
  </si>
  <si>
    <t>S18_2319</t>
  </si>
  <si>
    <t>S18_2325</t>
  </si>
  <si>
    <t>S18_2432</t>
  </si>
  <si>
    <t>Planes</t>
  </si>
  <si>
    <t>S18_2581</t>
  </si>
  <si>
    <t>S18_2625</t>
  </si>
  <si>
    <t>S18_2795</t>
  </si>
  <si>
    <t>S18_2870</t>
  </si>
  <si>
    <t>S18_2949</t>
  </si>
  <si>
    <t>S18_2957</t>
  </si>
  <si>
    <t>S18_3136</t>
  </si>
  <si>
    <t>S18_3232</t>
  </si>
  <si>
    <t>S18_3278</t>
  </si>
  <si>
    <t>S18_3320</t>
  </si>
  <si>
    <t>S18_3482</t>
  </si>
  <si>
    <t>S18_3685</t>
  </si>
  <si>
    <t>S18_3782</t>
  </si>
  <si>
    <t>S18_4409</t>
  </si>
  <si>
    <t>S18_4600</t>
  </si>
  <si>
    <t>S18_4668</t>
  </si>
  <si>
    <t>S18_4721</t>
  </si>
  <si>
    <t>S18_4933</t>
  </si>
  <si>
    <t>S24_1046</t>
  </si>
  <si>
    <t>S24_1578</t>
  </si>
  <si>
    <t>S24_1628</t>
  </si>
  <si>
    <t>S24_1785</t>
  </si>
  <si>
    <t>S24_1937</t>
  </si>
  <si>
    <t>S24_2000</t>
  </si>
  <si>
    <t>S24_2022</t>
  </si>
  <si>
    <t>S24_2360</t>
  </si>
  <si>
    <t>S24_2766</t>
  </si>
  <si>
    <t>S24_2887</t>
  </si>
  <si>
    <t>S24_2972</t>
  </si>
  <si>
    <t>S24_3191</t>
  </si>
  <si>
    <t>S24_3371</t>
  </si>
  <si>
    <t>S24_3420</t>
  </si>
  <si>
    <t>S24_3432</t>
  </si>
  <si>
    <t>S24_3856</t>
  </si>
  <si>
    <t>S24_3949</t>
  </si>
  <si>
    <t>S24_3969</t>
  </si>
  <si>
    <t>S24_4258</t>
  </si>
  <si>
    <t>S24_4278</t>
  </si>
  <si>
    <t>S24_4620</t>
  </si>
  <si>
    <t>S32_1268</t>
  </si>
  <si>
    <t>S32_1374</t>
  </si>
  <si>
    <t>S32_2206</t>
  </si>
  <si>
    <t>S32_3522</t>
  </si>
  <si>
    <t>S32_4289</t>
  </si>
  <si>
    <t>S32_4485</t>
  </si>
  <si>
    <t>S50_1341</t>
  </si>
  <si>
    <t>S50_4713</t>
  </si>
  <si>
    <t>S700_1691</t>
  </si>
  <si>
    <t>Ships</t>
  </si>
  <si>
    <t>S700_2047</t>
  </si>
  <si>
    <t>S700_2466</t>
  </si>
  <si>
    <t>S700_2824</t>
  </si>
  <si>
    <t>S700_2834</t>
  </si>
  <si>
    <t>S700_3167</t>
  </si>
  <si>
    <t>S700_4002</t>
  </si>
  <si>
    <t>S72_1253</t>
  </si>
  <si>
    <t>Sum of QUANTITYORDERED</t>
  </si>
  <si>
    <t>Row Labels</t>
  </si>
  <si>
    <t>Grand Total</t>
  </si>
  <si>
    <t>Sum of TOTAL SALES</t>
  </si>
  <si>
    <t>February</t>
  </si>
  <si>
    <t>March</t>
  </si>
  <si>
    <t>April</t>
  </si>
  <si>
    <t>May</t>
  </si>
  <si>
    <t>August</t>
  </si>
  <si>
    <t>October</t>
  </si>
  <si>
    <t>November</t>
  </si>
  <si>
    <t>MONTH_NAME</t>
  </si>
  <si>
    <t>(blank)</t>
  </si>
  <si>
    <t>September</t>
  </si>
  <si>
    <t>Column Labels</t>
  </si>
  <si>
    <t>Which Product Line Generated the Most Revenue During the Period from 2003 to 2005</t>
  </si>
  <si>
    <t>SALES REPORT AS PER PRODUCTLINE  (2003-2005)</t>
  </si>
  <si>
    <t>SALES REPORT AS PER CITY (2003-2005)</t>
  </si>
  <si>
    <t>Which city generated the highest revenue during the period from 2003 to 2005?</t>
  </si>
  <si>
    <t>SALES REPORT AS PER CUSTOMER (2003-2005)</t>
  </si>
  <si>
    <t>Which customer contributed the most to the total sales?</t>
  </si>
  <si>
    <t>Which year generated the maximum revenue?</t>
  </si>
  <si>
    <t>SALES REPORT AS PER MONTH(2003 TO 2005)</t>
  </si>
  <si>
    <t xml:space="preserve">COMPANYNAME </t>
  </si>
  <si>
    <t>SALES</t>
  </si>
  <si>
    <t xml:space="preserve">TOTAL SALES </t>
  </si>
  <si>
    <t>Sales Calculation Summary</t>
  </si>
  <si>
    <t xml:space="preserve">VINTAGE CAR SALES </t>
  </si>
  <si>
    <t>Sum of SALES</t>
  </si>
  <si>
    <t xml:space="preserve">CLASSIC CARS SALES </t>
  </si>
  <si>
    <t xml:space="preserve">TRUCKS AND BUSES SALES </t>
  </si>
  <si>
    <t>MOTOCYCLE SALES</t>
  </si>
  <si>
    <t xml:space="preserve">PLANE SALES </t>
  </si>
  <si>
    <t xml:space="preserve">SHIP SALES </t>
  </si>
  <si>
    <t xml:space="preserve">SALES   </t>
  </si>
  <si>
    <t xml:space="preserve">AMOUNT </t>
  </si>
  <si>
    <t>QUANTITY ORDERED</t>
  </si>
  <si>
    <t>BUISNESS ACTIONS :</t>
  </si>
  <si>
    <t>Serial No.</t>
  </si>
  <si>
    <t xml:space="preserve">Possible Outcome </t>
  </si>
  <si>
    <t>High</t>
  </si>
  <si>
    <t>Priority Level</t>
  </si>
  <si>
    <t xml:space="preserve">Peter Ferguson being our top customer </t>
  </si>
  <si>
    <t xml:space="preserve">Low </t>
  </si>
  <si>
    <t>Classic Cars and Vintage  Cars are one of the top performing products.</t>
  </si>
  <si>
    <t>Enhanced market penetration across all relevant channels, improving strategic customer growth and brand strength.</t>
  </si>
  <si>
    <t>Ships are the most underperforming category among all products.</t>
  </si>
  <si>
    <t>Conduct a comprehensive review of the Ships category, gathering customer feedback to identify and correct product and operational deficiencies.</t>
  </si>
  <si>
    <t xml:space="preserve">Melbourne being the top contributor to our total sales </t>
  </si>
  <si>
    <t>Evaluate distribution strategy to ensure maximum product accessibility for the Melbourne customer base and optimize after-sales service.</t>
  </si>
  <si>
    <t>Refined distribution channels will increase operational efficiency and elevate the customer experience, thereby solidifying market trust.</t>
  </si>
  <si>
    <t xml:space="preserve">Chatswood have the highest demand for Vintage  Cars as compared to any other city </t>
  </si>
  <si>
    <t>Implement a dynamic pricing model for Vintage Cars, including special limited-time offers and incentives to stimulate demand across other categories.</t>
  </si>
  <si>
    <t>Strategic pricing adjustments will maximize per-unit profit and lead to increased cross-category sales, effectively meeting and capitalizing on overall customer demand.</t>
  </si>
  <si>
    <t>Develop a targeted loyalty program and execute exclusive advertising campaigns for our top-tier customers.</t>
  </si>
  <si>
    <t>Specialized retention efforts will significantly strengthen brand loyalty and enhance promotional reach to acquire similar high-value customers.</t>
  </si>
  <si>
    <t>November stands out as the strongest month based on past sales trends, showing the seasonal pattern.</t>
  </si>
  <si>
    <t>Optimize inventory management and operational scheduling, aligning with the observed November peak and the preceding months' sales trends.</t>
  </si>
  <si>
    <t>Improved resource allocation and inventory planning will ensure adequate stock levels, maximizing revenue during the peak sales period and stabilizing year-round customer engagement.</t>
  </si>
  <si>
    <t>2004 recorded the highest annual sales, indicating strong seasonal demand in the customer base for that year.</t>
  </si>
  <si>
    <t>Analyze and document the major events and promotional strategies employed during the peak sales year (2004).</t>
  </si>
  <si>
    <t>Informed strategic decision-making by understanding historical success drivers, allowing for the development of more effective future sales and marketing campaigns.</t>
  </si>
  <si>
    <t>The correlation between the Quantity Ordered and Sales is moderately positive.</t>
  </si>
  <si>
    <t>Perform a detailed economic analysis of the current product line-up and adjust purchasing practices accordingly.</t>
  </si>
  <si>
    <t>Optimized procurement strategy will strengthen the relationship between inventory volume and sales performance, enhancing overall profitability.</t>
  </si>
  <si>
    <t>Deepened customer understanding will inform necessary product improvements, leading to increased sales and category viability.</t>
  </si>
  <si>
    <t>Conduct an immediate forensic business review to isolate the root cause of the sales collapse.</t>
  </si>
  <si>
    <t>Identified and rectified critical failures allowing the business to stabilize operations and formulate a targeted recovery strategy to restore growth.</t>
  </si>
  <si>
    <t>Following a strong 23.15% growth in 2004, sales collapsed by over 50% in 2005, indicating a severe, immediate failure in market performance or operations.</t>
  </si>
  <si>
    <r>
      <rPr>
        <sz val="16"/>
        <color theme="1"/>
        <rFont val="Calibri"/>
        <family val="2"/>
        <scheme val="minor"/>
      </rPr>
      <t>Increase</t>
    </r>
    <r>
      <rPr>
        <b/>
        <sz val="16"/>
        <color theme="1"/>
        <rFont val="Calibri"/>
        <family val="2"/>
        <scheme val="minor"/>
      </rPr>
      <t xml:space="preserve"> </t>
    </r>
    <r>
      <rPr>
        <sz val="16"/>
        <color theme="1"/>
        <rFont val="Calibri"/>
        <family val="2"/>
        <scheme val="minor"/>
      </rPr>
      <t>investment in production and marketing for the Classic and Vintage categories.</t>
    </r>
  </si>
  <si>
    <t>Required Action</t>
  </si>
  <si>
    <t>Insights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</si>
</sst>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00"/>
  </numFmts>
  <fonts count="12" x14ac:knownFonts="1">
    <font>
      <sz val="11"/>
      <color theme="1"/>
      <name val="Calibri"/>
      <family val="2"/>
      <scheme val="minor"/>
    </font>
    <font>
      <sz val="11"/>
      <color theme="1"/>
      <name val="Calibri"/>
      <family val="2"/>
      <scheme val="minor"/>
    </font>
    <font>
      <sz val="12"/>
      <color theme="0"/>
      <name val="Arial Black"/>
      <family val="2"/>
    </font>
    <font>
      <sz val="16"/>
      <color theme="0"/>
      <name val="Arial Black"/>
      <family val="2"/>
    </font>
    <font>
      <b/>
      <sz val="16"/>
      <color theme="1"/>
      <name val="Calibri"/>
      <family val="2"/>
      <scheme val="minor"/>
    </font>
    <font>
      <b/>
      <sz val="14"/>
      <color theme="1"/>
      <name val="Calibri"/>
      <family val="2"/>
      <scheme val="minor"/>
    </font>
    <font>
      <b/>
      <sz val="11"/>
      <color theme="1"/>
      <name val="Calibri"/>
      <family val="2"/>
      <scheme val="minor"/>
    </font>
    <font>
      <b/>
      <sz val="11"/>
      <color rgb="FF000000"/>
      <name val="Calibri"/>
      <family val="2"/>
    </font>
    <font>
      <sz val="16"/>
      <color theme="1"/>
      <name val="Calibri"/>
      <family val="2"/>
      <scheme val="minor"/>
    </font>
    <font>
      <b/>
      <sz val="28"/>
      <color theme="1"/>
      <name val="Calibri"/>
      <family val="2"/>
      <scheme val="minor"/>
    </font>
    <font>
      <sz val="28"/>
      <color theme="1"/>
      <name val="Calibri"/>
      <family val="2"/>
      <scheme val="minor"/>
    </font>
    <font>
      <sz val="28"/>
      <color theme="0"/>
      <name val="Arial Black"/>
      <family val="2"/>
    </font>
  </fonts>
  <fills count="4">
    <fill>
      <patternFill patternType="none"/>
    </fill>
    <fill>
      <patternFill patternType="gray125"/>
    </fill>
    <fill>
      <patternFill patternType="solid">
        <fgColor rgb="FFFF0000"/>
        <bgColor indexed="64"/>
      </patternFill>
    </fill>
    <fill>
      <patternFill patternType="solid">
        <fgColor theme="4" tint="-0.249977111117893"/>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s>
  <cellStyleXfs count="3">
    <xf numFmtId="0" fontId="0" fillId="0" borderId="0"/>
    <xf numFmtId="0" fontId="1" fillId="0" borderId="0"/>
    <xf numFmtId="0" fontId="2" fillId="2" borderId="0"/>
  </cellStyleXfs>
  <cellXfs count="33">
    <xf numFmtId="0" fontId="0" fillId="0" borderId="0" xfId="0"/>
    <xf numFmtId="164" fontId="0" fillId="0" borderId="0" xfId="0" applyNumberFormat="1"/>
    <xf numFmtId="0" fontId="0" fillId="0" borderId="0" xfId="0" applyAlignment="1">
      <alignment horizontal="center"/>
    </xf>
    <xf numFmtId="0" fontId="0" fillId="0" borderId="1" xfId="0" applyBorder="1" applyAlignment="1">
      <alignment horizontal="center"/>
    </xf>
    <xf numFmtId="164" fontId="0" fillId="0" borderId="1" xfId="0" applyNumberFormat="1" applyBorder="1" applyAlignment="1">
      <alignment horizontal="center"/>
    </xf>
    <xf numFmtId="14" fontId="0" fillId="0" borderId="1" xfId="0" applyNumberFormat="1" applyBorder="1" applyAlignment="1">
      <alignment horizontal="center"/>
    </xf>
    <xf numFmtId="0" fontId="1" fillId="0" borderId="1" xfId="1" applyBorder="1" applyAlignment="1">
      <alignment horizontal="center"/>
    </xf>
    <xf numFmtId="0" fontId="0" fillId="0" borderId="0" xfId="0" pivotButton="1"/>
    <xf numFmtId="0" fontId="0" fillId="0" borderId="0" xfId="0" applyAlignment="1">
      <alignment horizontal="left"/>
    </xf>
    <xf numFmtId="0" fontId="0" fillId="0" borderId="2" xfId="0" applyBorder="1" applyAlignment="1">
      <alignment horizontal="center"/>
    </xf>
    <xf numFmtId="164" fontId="0" fillId="0" borderId="2" xfId="0" applyNumberFormat="1" applyBorder="1" applyAlignment="1">
      <alignment horizontal="center"/>
    </xf>
    <xf numFmtId="14" fontId="0" fillId="0" borderId="2" xfId="0" applyNumberFormat="1" applyBorder="1" applyAlignment="1">
      <alignment horizontal="center"/>
    </xf>
    <xf numFmtId="0" fontId="1" fillId="0" borderId="0" xfId="1"/>
    <xf numFmtId="14" fontId="0" fillId="0" borderId="0" xfId="0" applyNumberFormat="1" applyAlignment="1">
      <alignment horizontal="center"/>
    </xf>
    <xf numFmtId="0" fontId="1" fillId="0" borderId="0" xfId="0" applyFont="1" applyAlignment="1">
      <alignment horizontal="left"/>
    </xf>
    <xf numFmtId="0" fontId="1" fillId="0" borderId="0" xfId="0" applyFont="1"/>
    <xf numFmtId="0" fontId="1" fillId="0" borderId="0" xfId="1" applyAlignment="1">
      <alignment horizontal="center"/>
    </xf>
    <xf numFmtId="164" fontId="0" fillId="0" borderId="0" xfId="0" applyNumberFormat="1" applyAlignment="1">
      <alignment horizontal="center"/>
    </xf>
    <xf numFmtId="0" fontId="6" fillId="0" borderId="0" xfId="0" applyFont="1" applyAlignment="1">
      <alignment horizontal="center"/>
    </xf>
    <xf numFmtId="0" fontId="6" fillId="0" borderId="1" xfId="0" applyFont="1" applyBorder="1" applyAlignment="1">
      <alignment horizontal="center"/>
    </xf>
    <xf numFmtId="164" fontId="0" fillId="0" borderId="1" xfId="0" applyNumberFormat="1" applyBorder="1"/>
    <xf numFmtId="0" fontId="0" fillId="0" borderId="1" xfId="0" applyBorder="1"/>
    <xf numFmtId="164" fontId="6" fillId="0" borderId="1" xfId="0" applyNumberFormat="1" applyFont="1" applyBorder="1"/>
    <xf numFmtId="0" fontId="6" fillId="0" borderId="1" xfId="0" applyFont="1" applyBorder="1"/>
    <xf numFmtId="0" fontId="3" fillId="3" borderId="0" xfId="2" applyFont="1" applyFill="1"/>
    <xf numFmtId="0" fontId="8" fillId="0" borderId="0" xfId="0" applyFont="1"/>
    <xf numFmtId="0" fontId="4" fillId="0" borderId="0" xfId="0" applyFont="1"/>
    <xf numFmtId="0" fontId="8" fillId="0" borderId="0" xfId="0" applyFont="1" applyAlignment="1">
      <alignment wrapText="1"/>
    </xf>
    <xf numFmtId="0" fontId="9" fillId="0" borderId="0" xfId="0" applyFont="1"/>
    <xf numFmtId="0" fontId="10" fillId="0" borderId="0" xfId="0" applyFont="1"/>
    <xf numFmtId="0" fontId="11" fillId="3" borderId="0" xfId="2" applyFont="1" applyFill="1"/>
    <xf numFmtId="0" fontId="4" fillId="0" borderId="0" xfId="0" applyFont="1" applyAlignment="1">
      <alignment horizontal="center"/>
    </xf>
    <xf numFmtId="0" fontId="5" fillId="0" borderId="0" xfId="0" applyFont="1" applyAlignment="1">
      <alignment horizontal="center"/>
    </xf>
  </cellXfs>
  <cellStyles count="3">
    <cellStyle name="mg" xfId="1" xr:uid="{6D2B5555-EEF3-47B9-92F4-2D08866F40B2}"/>
    <cellStyle name="Normal" xfId="0" builtinId="0"/>
    <cellStyle name="Style 1" xfId="2" xr:uid="{7FDF4FE5-1FA3-4667-B0BD-7FC329D10540}"/>
  </cellStyles>
  <dxfs count="1">
    <dxf>
      <font>
        <b/>
        <i val="0"/>
        <strike val="0"/>
        <condense val="0"/>
        <extend val="0"/>
        <outline val="0"/>
        <shadow val="0"/>
        <u val="none"/>
        <vertAlign val="baseline"/>
        <sz val="28"/>
        <color theme="1"/>
        <name val="Calibri"/>
        <family val="2"/>
        <scheme val="minor"/>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07/relationships/slicerCache" Target="slicerCaches/slicerCache6.xml"/><Relationship Id="rId10" Type="http://schemas.microsoft.com/office/2007/relationships/slicerCache" Target="slicerCaches/slicerCach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[Sales_Dashboard.xlsm]PRODUCTLINE SALES !PivotTable1</c:name>
    <c:fmtId val="0"/>
  </c:pivotSource>
  <c:chart>
    <c:title>
      <c:tx>
        <c:strRef>
          <c:f>'PRODUCTLINE SALES '!$A$2:$C$2</c:f>
          <c:strCache>
            <c:ptCount val="3"/>
            <c:pt idx="0">
              <c:v>SALES REPORT AS PER PRODUCTLINE  (2003-2005)</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'PRODUCTLINE SALES '!$A$2:$C$2</c:f>
              <c:strCache>
                <c:ptCount val="1"/>
                <c:pt idx="0">
                  <c:v>Sum of SALES</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'PRODUCTLINE SALES '!$A$2:$C$2</c:f>
              <c:strCache>
                <c:ptCount val="6"/>
                <c:pt idx="0">
                  <c:v>Classic Cars</c:v>
                </c:pt>
                <c:pt idx="1">
                  <c:v>Motorcycles</c:v>
                </c:pt>
                <c:pt idx="2">
                  <c:v>Planes</c:v>
                </c:pt>
                <c:pt idx="3">
                  <c:v>Ships</c:v>
                </c:pt>
                <c:pt idx="4">
                  <c:v>Trucks and Buses</c:v>
                </c:pt>
                <c:pt idx="5">
                  <c:v>Vintage Cars</c:v>
                </c:pt>
              </c:strCache>
            </c:strRef>
          </c:cat>
          <c:val>
            <c:numRef>
              <c:f>'PRODUCTLINE SALES '!$A$2:$C$2</c:f>
              <c:numCache>
                <c:formatCode>"₹"\ #,##0.00</c:formatCode>
                <c:ptCount val="6"/>
                <c:pt idx="0">
                  <c:v>167950.15</c:v>
                </c:pt>
                <c:pt idx="1">
                  <c:v>75760.73</c:v>
                </c:pt>
                <c:pt idx="2">
                  <c:v>63983.590000000011</c:v>
                </c:pt>
                <c:pt idx="3">
                  <c:v>1707.14</c:v>
                </c:pt>
                <c:pt idx="4">
                  <c:v>64049.279999999999</c:v>
                </c:pt>
                <c:pt idx="5">
                  <c:v>131660.63000000003</c:v>
                </c:pt>
              </c:numCache>
            </c:numRef>
          </c:val>
          <c:extLst>
            <c:ext xmlns:c16="http://schemas.microsoft.com/office/drawing/2014/chart" uri="{C3380CC4-5D6E-409C-BE32-E72D297353CC}">
              <c16:uniqueId val="{00000000-C27D-44AF-9AE5-1D02F6341BDB}"/>
            </c:ext>
          </c:extLst>
        </c:ser>
        <c:ser>
          <c:idx val="1"/>
          <c:order val="1"/>
          <c:tx>
            <c:strRef>
              <c:f>'PRODUCTLINE SALES '!$A$2:$C$2</c:f>
              <c:strCache>
                <c:ptCount val="1"/>
                <c:pt idx="0">
                  <c:v>Sum of QUANTITYORDERED</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'PRODUCTLINE SALES '!$A$2:$C$2</c:f>
              <c:strCache>
                <c:ptCount val="6"/>
                <c:pt idx="0">
                  <c:v>Classic Cars</c:v>
                </c:pt>
                <c:pt idx="1">
                  <c:v>Motorcycles</c:v>
                </c:pt>
                <c:pt idx="2">
                  <c:v>Planes</c:v>
                </c:pt>
                <c:pt idx="3">
                  <c:v>Ships</c:v>
                </c:pt>
                <c:pt idx="4">
                  <c:v>Trucks and Buses</c:v>
                </c:pt>
                <c:pt idx="5">
                  <c:v>Vintage Cars</c:v>
                </c:pt>
              </c:strCache>
            </c:strRef>
          </c:cat>
          <c:val>
            <c:numRef>
              <c:f>'PRODUCTLINE SALES '!$A$2:$C$2</c:f>
              <c:numCache>
                <c:formatCode>General</c:formatCode>
                <c:ptCount val="6"/>
                <c:pt idx="0">
                  <c:v>1504</c:v>
                </c:pt>
                <c:pt idx="1">
                  <c:v>736</c:v>
                </c:pt>
                <c:pt idx="2">
                  <c:v>684</c:v>
                </c:pt>
                <c:pt idx="3">
                  <c:v>34</c:v>
                </c:pt>
                <c:pt idx="4">
                  <c:v>592</c:v>
                </c:pt>
                <c:pt idx="5">
                  <c:v>1426</c:v>
                </c:pt>
              </c:numCache>
            </c:numRef>
          </c:val>
          <c:extLst>
            <c:ext xmlns:c16="http://schemas.microsoft.com/office/drawing/2014/chart" uri="{C3380CC4-5D6E-409C-BE32-E72D297353CC}">
              <c16:uniqueId val="{00000001-C27D-44AF-9AE5-1D02F6341BDB}"/>
            </c:ext>
          </c:extLst>
        </c:ser>
        <c:dLbls>
          <c:showLegendKey val="0"/>
          <c:showVal val="0"/>
          <c:showCatName val="0"/>
          <c:showSerName val="0"/>
          <c:showPercent val="0"/>
          <c:showBubbleSize val="0"/>
        </c:dLbls>
        <c:gapWidth val="100"/>
        <c:overlap val="-24"/>
        <c:axId val="1037195728"/>
        <c:axId val="1118187296"/>
      </c:barChart>
      <c:catAx>
        <c:axId val="10371957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8187296"/>
        <c:crosses val="autoZero"/>
        <c:auto val="1"/>
        <c:lblAlgn val="ctr"/>
        <c:lblOffset val="100"/>
        <c:noMultiLvlLbl val="0"/>
      </c:catAx>
      <c:valAx>
        <c:axId val="1118187296"/>
        <c:scaling>
          <c:logBase val="10"/>
          <c:orientation val="minMax"/>
        </c:scaling>
        <c:delete val="0"/>
        <c:axPos val="l"/>
        <c:majorGridlines>
          <c:spPr>
            <a:ln w="9525" cap="flat" cmpd="sng" algn="ctr">
              <a:solidFill>
                <a:schemeClr val="lt1">
                  <a:lumMod val="95000"/>
                  <a:alpha val="10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37195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[Sales_Dashboard.xlsm]CITY SALES !PivotTable3</c:name>
    <c:fmtId val="1"/>
  </c:pivotSource>
  <c:chart>
    <c:title>
      <c:tx>
        <c:strRef>
          <c:f>'CITY SALES '!$A$2:$E$2</c:f>
          <c:strCache>
            <c:ptCount val="5"/>
            <c:pt idx="0">
              <c:v>SALES REPORT AS PER CITY (2003-2005)</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'CITY SALES '!$A$2:$E$2</c:f>
              <c:strCache>
                <c:ptCount val="1"/>
                <c:pt idx="0">
                  <c:v>Chatswood</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'CITY SALES '!$A$2:$E$2</c:f>
              <c:strCache>
                <c:ptCount val="6"/>
                <c:pt idx="0">
                  <c:v>Classic Cars</c:v>
                </c:pt>
                <c:pt idx="1">
                  <c:v>Motorcycles</c:v>
                </c:pt>
                <c:pt idx="2">
                  <c:v>Planes</c:v>
                </c:pt>
                <c:pt idx="3">
                  <c:v>Ships</c:v>
                </c:pt>
                <c:pt idx="4">
                  <c:v>Trucks and Buses</c:v>
                </c:pt>
                <c:pt idx="5">
                  <c:v>Vintage Cars</c:v>
                </c:pt>
              </c:strCache>
            </c:strRef>
          </c:cat>
          <c:val>
            <c:numRef>
              <c:f>'CITY SALES '!$A$2:$E$2</c:f>
              <c:numCache>
                <c:formatCode>"₹"\ #,##0.00</c:formatCode>
                <c:ptCount val="6"/>
                <c:pt idx="0">
                  <c:v>45522.76</c:v>
                </c:pt>
                <c:pt idx="1">
                  <c:v>2083.1999999999998</c:v>
                </c:pt>
                <c:pt idx="2">
                  <c:v>23999.649999999998</c:v>
                </c:pt>
                <c:pt idx="3">
                  <c:v>1707.14</c:v>
                </c:pt>
                <c:pt idx="4">
                  <c:v>15441.14</c:v>
                </c:pt>
                <c:pt idx="5">
                  <c:v>77787.44</c:v>
                </c:pt>
              </c:numCache>
            </c:numRef>
          </c:val>
          <c:extLst>
            <c:ext xmlns:c16="http://schemas.microsoft.com/office/drawing/2014/chart" uri="{C3380CC4-5D6E-409C-BE32-E72D297353CC}">
              <c16:uniqueId val="{00000000-31BC-4BA6-9ACE-B5E095A657A1}"/>
            </c:ext>
          </c:extLst>
        </c:ser>
        <c:ser>
          <c:idx val="1"/>
          <c:order val="1"/>
          <c:tx>
            <c:strRef>
              <c:f>'CITY SALES '!$A$2:$E$2</c:f>
              <c:strCache>
                <c:ptCount val="1"/>
                <c:pt idx="0">
                  <c:v>Melbourne</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'CITY SALES '!$A$2:$E$2</c:f>
              <c:strCache>
                <c:ptCount val="6"/>
                <c:pt idx="0">
                  <c:v>Classic Cars</c:v>
                </c:pt>
                <c:pt idx="1">
                  <c:v>Motorcycles</c:v>
                </c:pt>
                <c:pt idx="2">
                  <c:v>Planes</c:v>
                </c:pt>
                <c:pt idx="3">
                  <c:v>Ships</c:v>
                </c:pt>
                <c:pt idx="4">
                  <c:v>Trucks and Buses</c:v>
                </c:pt>
                <c:pt idx="5">
                  <c:v>Vintage Cars</c:v>
                </c:pt>
              </c:strCache>
            </c:strRef>
          </c:cat>
          <c:val>
            <c:numRef>
              <c:f>'CITY SALES '!$A$2:$E$2</c:f>
              <c:numCache>
                <c:formatCode>"₹"\ #,##0.00</c:formatCode>
                <c:ptCount val="6"/>
                <c:pt idx="0">
                  <c:v>52096.649999999994</c:v>
                </c:pt>
                <c:pt idx="1">
                  <c:v>52871.44</c:v>
                </c:pt>
                <c:pt idx="2">
                  <c:v>39983.94</c:v>
                </c:pt>
                <c:pt idx="4">
                  <c:v>19106.98</c:v>
                </c:pt>
                <c:pt idx="5">
                  <c:v>33167.68</c:v>
                </c:pt>
              </c:numCache>
            </c:numRef>
          </c:val>
          <c:extLst>
            <c:ext xmlns:c16="http://schemas.microsoft.com/office/drawing/2014/chart" uri="{C3380CC4-5D6E-409C-BE32-E72D297353CC}">
              <c16:uniqueId val="{00000001-31BC-4BA6-9ACE-B5E095A657A1}"/>
            </c:ext>
          </c:extLst>
        </c:ser>
        <c:ser>
          <c:idx val="2"/>
          <c:order val="2"/>
          <c:tx>
            <c:strRef>
              <c:f>'CITY SALES '!$A$2:$E$2</c:f>
              <c:strCache>
                <c:ptCount val="1"/>
                <c:pt idx="0">
                  <c:v>North Sydney</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'CITY SALES '!$A$2:$E$2</c:f>
              <c:strCache>
                <c:ptCount val="6"/>
                <c:pt idx="0">
                  <c:v>Classic Cars</c:v>
                </c:pt>
                <c:pt idx="1">
                  <c:v>Motorcycles</c:v>
                </c:pt>
                <c:pt idx="2">
                  <c:v>Planes</c:v>
                </c:pt>
                <c:pt idx="3">
                  <c:v>Ships</c:v>
                </c:pt>
                <c:pt idx="4">
                  <c:v>Trucks and Buses</c:v>
                </c:pt>
                <c:pt idx="5">
                  <c:v>Vintage Cars</c:v>
                </c:pt>
              </c:strCache>
            </c:strRef>
          </c:cat>
          <c:val>
            <c:numRef>
              <c:f>'CITY SALES '!$A$2:$E$2</c:f>
              <c:numCache>
                <c:formatCode>"₹"\ #,##0.00</c:formatCode>
                <c:ptCount val="6"/>
                <c:pt idx="0">
                  <c:v>70330.739999999991</c:v>
                </c:pt>
                <c:pt idx="1">
                  <c:v>20806.090000000004</c:v>
                </c:pt>
                <c:pt idx="4">
                  <c:v>29501.160000000003</c:v>
                </c:pt>
                <c:pt idx="5">
                  <c:v>20705.509999999998</c:v>
                </c:pt>
              </c:numCache>
            </c:numRef>
          </c:val>
          <c:extLst>
            <c:ext xmlns:c16="http://schemas.microsoft.com/office/drawing/2014/chart" uri="{C3380CC4-5D6E-409C-BE32-E72D297353CC}">
              <c16:uniqueId val="{00000002-31BC-4BA6-9ACE-B5E095A657A1}"/>
            </c:ext>
          </c:extLst>
        </c:ser>
        <c:dLbls>
          <c:showLegendKey val="0"/>
          <c:showVal val="0"/>
          <c:showCatName val="0"/>
          <c:showSerName val="0"/>
          <c:showPercent val="0"/>
          <c:showBubbleSize val="0"/>
        </c:dLbls>
        <c:gapWidth val="100"/>
        <c:overlap val="-24"/>
        <c:axId val="1128549072"/>
        <c:axId val="1128551952"/>
      </c:barChart>
      <c:catAx>
        <c:axId val="11285490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28551952"/>
        <c:crosses val="autoZero"/>
        <c:auto val="1"/>
        <c:lblAlgn val="ctr"/>
        <c:lblOffset val="100"/>
        <c:noMultiLvlLbl val="0"/>
      </c:catAx>
      <c:valAx>
        <c:axId val="1128551952"/>
        <c:scaling>
          <c:logBase val="10"/>
          <c:orientation val="minMax"/>
        </c:scaling>
        <c:delete val="0"/>
        <c:axPos val="l"/>
        <c:majorGridlines>
          <c:spPr>
            <a:ln w="9525" cap="flat" cmpd="sng" algn="ctr">
              <a:solidFill>
                <a:schemeClr val="lt1">
                  <a:lumMod val="95000"/>
                  <a:alpha val="10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28549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[Sales_Dashboard.xlsm]CUSTOMER SALES !PivotTable3</c:name>
    <c:fmtId val="3"/>
  </c:pivotSource>
  <c:chart>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'CUSTOMER SALES '!$B$13:$B$14</c:f>
              <c:strCache>
                <c:ptCount val="1"/>
                <c:pt idx="0">
                  <c:v>Adrian</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'CUSTOMER SALES '!$A$15:$A$21</c:f>
              <c:strCache>
                <c:ptCount val="6"/>
                <c:pt idx="0">
                  <c:v>Classic Cars</c:v>
                </c:pt>
                <c:pt idx="1">
                  <c:v>Motorcycles</c:v>
                </c:pt>
                <c:pt idx="2">
                  <c:v>Planes</c:v>
                </c:pt>
                <c:pt idx="3">
                  <c:v>Ships</c:v>
                </c:pt>
                <c:pt idx="4">
                  <c:v>Trucks and Buses</c:v>
                </c:pt>
                <c:pt idx="5">
                  <c:v>Vintage Cars</c:v>
                </c:pt>
              </c:strCache>
            </c:strRef>
          </c:cat>
          <c:val>
            <c:numRef>
              <c:f>'CUSTOMER SALES '!$B$15:$B$21</c:f>
              <c:numCache>
                <c:formatCode>"₹"\ #,##0.00</c:formatCode>
                <c:ptCount val="6"/>
                <c:pt idx="0">
                  <c:v>36681.130000000005</c:v>
                </c:pt>
                <c:pt idx="1">
                  <c:v>1329.9</c:v>
                </c:pt>
                <c:pt idx="2">
                  <c:v>23893.329999999994</c:v>
                </c:pt>
                <c:pt idx="3">
                  <c:v>1089.3599999999999</c:v>
                </c:pt>
                <c:pt idx="4">
                  <c:v>17715.309999999998</c:v>
                </c:pt>
                <c:pt idx="5">
                  <c:v>69410.95</c:v>
                </c:pt>
              </c:numCache>
            </c:numRef>
          </c:val>
          <c:extLst>
            <c:ext xmlns:c16="http://schemas.microsoft.com/office/drawing/2014/chart" uri="{C3380CC4-5D6E-409C-BE32-E72D297353CC}">
              <c16:uniqueId val="{00000000-06B2-42ED-A5E8-21B25CA391F3}"/>
            </c:ext>
          </c:extLst>
        </c:ser>
        <c:ser>
          <c:idx val="1"/>
          <c:order val="1"/>
          <c:tx>
            <c:strRef>
              <c:f>'CUSTOMER SALES '!$C$13:$C$14</c:f>
              <c:strCache>
                <c:ptCount val="1"/>
                <c:pt idx="0">
                  <c:v>Anna</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'CUSTOMER SALES '!$A$15:$A$21</c:f>
              <c:strCache>
                <c:ptCount val="6"/>
                <c:pt idx="0">
                  <c:v>Classic Cars</c:v>
                </c:pt>
                <c:pt idx="1">
                  <c:v>Motorcycles</c:v>
                </c:pt>
                <c:pt idx="2">
                  <c:v>Planes</c:v>
                </c:pt>
                <c:pt idx="3">
                  <c:v>Ships</c:v>
                </c:pt>
                <c:pt idx="4">
                  <c:v>Trucks and Buses</c:v>
                </c:pt>
                <c:pt idx="5">
                  <c:v>Vintage Cars</c:v>
                </c:pt>
              </c:strCache>
            </c:strRef>
          </c:cat>
          <c:val>
            <c:numRef>
              <c:f>'CUSTOMER SALES '!$C$15:$C$21</c:f>
              <c:numCache>
                <c:formatCode>"₹"\ #,##0.00</c:formatCode>
                <c:ptCount val="6"/>
                <c:pt idx="0">
                  <c:v>74492.239999999991</c:v>
                </c:pt>
                <c:pt idx="1">
                  <c:v>18877.11</c:v>
                </c:pt>
                <c:pt idx="4">
                  <c:v>29916.87</c:v>
                </c:pt>
                <c:pt idx="5">
                  <c:v>30709.909999999996</c:v>
                </c:pt>
              </c:numCache>
            </c:numRef>
          </c:val>
          <c:extLst>
            <c:ext xmlns:c16="http://schemas.microsoft.com/office/drawing/2014/chart" uri="{C3380CC4-5D6E-409C-BE32-E72D297353CC}">
              <c16:uniqueId val="{00000001-06B2-42ED-A5E8-21B25CA391F3}"/>
            </c:ext>
          </c:extLst>
        </c:ser>
        <c:ser>
          <c:idx val="2"/>
          <c:order val="2"/>
          <c:tx>
            <c:strRef>
              <c:f>'CUSTOMER SALES '!$D$13:$D$14</c:f>
              <c:strCache>
                <c:ptCount val="1"/>
                <c:pt idx="0">
                  <c:v>Peter</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'CUSTOMER SALES '!$A$15:$A$21</c:f>
              <c:strCache>
                <c:ptCount val="6"/>
                <c:pt idx="0">
                  <c:v>Classic Cars</c:v>
                </c:pt>
                <c:pt idx="1">
                  <c:v>Motorcycles</c:v>
                </c:pt>
                <c:pt idx="2">
                  <c:v>Planes</c:v>
                </c:pt>
                <c:pt idx="3">
                  <c:v>Ships</c:v>
                </c:pt>
                <c:pt idx="4">
                  <c:v>Trucks and Buses</c:v>
                </c:pt>
                <c:pt idx="5">
                  <c:v>Vintage Cars</c:v>
                </c:pt>
              </c:strCache>
            </c:strRef>
          </c:cat>
          <c:val>
            <c:numRef>
              <c:f>'CUSTOMER SALES '!$D$15:$D$21</c:f>
              <c:numCache>
                <c:formatCode>"₹"\ #,##0.00</c:formatCode>
                <c:ptCount val="6"/>
                <c:pt idx="0">
                  <c:v>50697.09</c:v>
                </c:pt>
                <c:pt idx="1">
                  <c:v>53818.659999999996</c:v>
                </c:pt>
                <c:pt idx="2">
                  <c:v>39878.759999999995</c:v>
                </c:pt>
                <c:pt idx="4">
                  <c:v>18388.78</c:v>
                </c:pt>
                <c:pt idx="5">
                  <c:v>38212.120000000003</c:v>
                </c:pt>
              </c:numCache>
            </c:numRef>
          </c:val>
          <c:extLst>
            <c:ext xmlns:c16="http://schemas.microsoft.com/office/drawing/2014/chart" uri="{C3380CC4-5D6E-409C-BE32-E72D297353CC}">
              <c16:uniqueId val="{00000005-06B2-42ED-A5E8-21B25CA391F3}"/>
            </c:ext>
          </c:extLst>
        </c:ser>
        <c:dLbls>
          <c:showLegendKey val="0"/>
          <c:showVal val="0"/>
          <c:showCatName val="0"/>
          <c:showSerName val="0"/>
          <c:showPercent val="0"/>
          <c:showBubbleSize val="0"/>
        </c:dLbls>
        <c:gapWidth val="100"/>
        <c:overlap val="-24"/>
        <c:axId val="430308527"/>
        <c:axId val="430315247"/>
      </c:barChart>
      <c:catAx>
        <c:axId val="43030852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0315247"/>
        <c:crosses val="autoZero"/>
        <c:auto val="1"/>
        <c:lblAlgn val="ctr"/>
        <c:lblOffset val="100"/>
        <c:noMultiLvlLbl val="0"/>
      </c:catAx>
      <c:valAx>
        <c:axId val="430315247"/>
        <c:scaling>
          <c:logBase val="10"/>
          <c:orientation val="minMax"/>
        </c:scaling>
        <c:delete val="0"/>
        <c:axPos val="l"/>
        <c:majorGridlines>
          <c:spPr>
            <a:ln w="9525" cap="flat" cmpd="sng" algn="ctr">
              <a:solidFill>
                <a:schemeClr val="lt1">
                  <a:lumMod val="95000"/>
                  <a:alpha val="10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03085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[Sales_Dashboard.xlsm]MOTHLY SALES !PivotTable1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SALES</a:t>
            </a:r>
            <a:r>
              <a:rPr lang="en-IN" baseline="0"/>
              <a:t> REPORT AS PER MONTH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6"/>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'MOTHLY SALES '!$B$14</c:f>
              <c:strCache>
                <c:ptCount val="1"/>
                <c:pt idx="0">
                  <c:v>Sum of TOTAL SALES</c:v>
                </c:pt>
              </c:strCache>
            </c:strRef>
          </c:tx>
          <c:spPr>
            <a:solidFill>
              <a:schemeClr val="accent6"/>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'MOTHLY SALES '!$A$15:$A$24</c:f>
              <c:strCache>
                <c:ptCount val="9"/>
                <c:pt idx="0">
                  <c:v>February</c:v>
                </c:pt>
                <c:pt idx="1">
                  <c:v>March</c:v>
                </c:pt>
                <c:pt idx="2">
                  <c:v>April</c:v>
                </c:pt>
                <c:pt idx="3">
                  <c:v>May</c:v>
                </c:pt>
                <c:pt idx="4">
                  <c:v>August</c:v>
                </c:pt>
                <c:pt idx="5">
                  <c:v>September</c:v>
                </c:pt>
                <c:pt idx="6">
                  <c:v>October</c:v>
                </c:pt>
                <c:pt idx="7">
                  <c:v>November</c:v>
                </c:pt>
                <c:pt idx="8">
                  <c:v>(blank)</c:v>
                </c:pt>
              </c:strCache>
            </c:strRef>
          </c:cat>
          <c:val>
            <c:numRef>
              <c:f>'MOTHLY SALES '!$B$15:$B$24</c:f>
              <c:numCache>
                <c:formatCode>"₹"\ #,##0.00</c:formatCode>
                <c:ptCount val="9"/>
                <c:pt idx="0">
                  <c:v>26691.919999999998</c:v>
                </c:pt>
                <c:pt idx="1">
                  <c:v>47442.91</c:v>
                </c:pt>
                <c:pt idx="2">
                  <c:v>70220.38</c:v>
                </c:pt>
                <c:pt idx="3">
                  <c:v>48481.919999999991</c:v>
                </c:pt>
                <c:pt idx="4">
                  <c:v>47191.76</c:v>
                </c:pt>
                <c:pt idx="5">
                  <c:v>9738.18</c:v>
                </c:pt>
                <c:pt idx="6">
                  <c:v>81002.840000000011</c:v>
                </c:pt>
                <c:pt idx="7">
                  <c:v>95028.14999999998</c:v>
                </c:pt>
                <c:pt idx="8">
                  <c:v>79313.459999999992</c:v>
                </c:pt>
              </c:numCache>
            </c:numRef>
          </c:val>
          <c:extLst>
            <c:ext xmlns:c16="http://schemas.microsoft.com/office/drawing/2014/chart" uri="{C3380CC4-5D6E-409C-BE32-E72D297353CC}">
              <c16:uniqueId val="{00000000-8736-43B7-BFE2-4F80DEE4EB78}"/>
            </c:ext>
          </c:extLst>
        </c:ser>
        <c:ser>
          <c:idx val="1"/>
          <c:order val="1"/>
          <c:tx>
            <c:strRef>
              <c:f>'MOTHLY SALES '!$C$14</c:f>
              <c:strCache>
                <c:ptCount val="1"/>
                <c:pt idx="0">
                  <c:v>Sum of QUANTITYORDERED</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'MOTHLY SALES '!$A$15:$A$24</c:f>
              <c:strCache>
                <c:ptCount val="9"/>
                <c:pt idx="0">
                  <c:v>February</c:v>
                </c:pt>
                <c:pt idx="1">
                  <c:v>March</c:v>
                </c:pt>
                <c:pt idx="2">
                  <c:v>April</c:v>
                </c:pt>
                <c:pt idx="3">
                  <c:v>May</c:v>
                </c:pt>
                <c:pt idx="4">
                  <c:v>August</c:v>
                </c:pt>
                <c:pt idx="5">
                  <c:v>September</c:v>
                </c:pt>
                <c:pt idx="6">
                  <c:v>October</c:v>
                </c:pt>
                <c:pt idx="7">
                  <c:v>November</c:v>
                </c:pt>
                <c:pt idx="8">
                  <c:v>(blank)</c:v>
                </c:pt>
              </c:strCache>
            </c:strRef>
          </c:cat>
          <c:val>
            <c:numRef>
              <c:f>'MOTHLY SALES '!$C$15:$C$24</c:f>
              <c:numCache>
                <c:formatCode>General</c:formatCode>
                <c:ptCount val="9"/>
                <c:pt idx="0">
                  <c:v>231</c:v>
                </c:pt>
                <c:pt idx="1">
                  <c:v>418</c:v>
                </c:pt>
                <c:pt idx="2">
                  <c:v>764</c:v>
                </c:pt>
                <c:pt idx="3">
                  <c:v>504</c:v>
                </c:pt>
                <c:pt idx="4">
                  <c:v>430</c:v>
                </c:pt>
                <c:pt idx="5">
                  <c:v>66</c:v>
                </c:pt>
                <c:pt idx="6">
                  <c:v>741</c:v>
                </c:pt>
                <c:pt idx="7">
                  <c:v>888</c:v>
                </c:pt>
                <c:pt idx="8">
                  <c:v>934</c:v>
                </c:pt>
              </c:numCache>
            </c:numRef>
          </c:val>
          <c:extLst>
            <c:ext xmlns:c16="http://schemas.microsoft.com/office/drawing/2014/chart" uri="{C3380CC4-5D6E-409C-BE32-E72D297353CC}">
              <c16:uniqueId val="{00000001-8736-43B7-BFE2-4F80DEE4EB78}"/>
            </c:ext>
          </c:extLst>
        </c:ser>
        <c:dLbls>
          <c:showLegendKey val="0"/>
          <c:showVal val="0"/>
          <c:showCatName val="0"/>
          <c:showSerName val="0"/>
          <c:showPercent val="0"/>
          <c:showBubbleSize val="0"/>
        </c:dLbls>
        <c:gapWidth val="100"/>
        <c:overlap val="-24"/>
        <c:axId val="2033418383"/>
        <c:axId val="2033420783"/>
      </c:barChart>
      <c:catAx>
        <c:axId val="203341838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33420783"/>
        <c:crosses val="autoZero"/>
        <c:auto val="1"/>
        <c:lblAlgn val="ctr"/>
        <c:lblOffset val="100"/>
        <c:noMultiLvlLbl val="0"/>
      </c:catAx>
      <c:valAx>
        <c:axId val="2033420783"/>
        <c:scaling>
          <c:orientation val="minMax"/>
        </c:scaling>
        <c:delete val="0"/>
        <c:axPos val="l"/>
        <c:majorGridlines>
          <c:spPr>
            <a:ln w="9525" cap="flat" cmpd="sng" algn="ctr">
              <a:solidFill>
                <a:schemeClr val="lt1">
                  <a:lumMod val="95000"/>
                  <a:alpha val="10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334183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08102D80-0F31-4E74-A8D8-6588DA9E0096}" type="doc">
      <dgm:prSet loTypeId="urn:microsoft.com/office/officeart/2005/8/layout/hProcess9" loCatId="process" qsTypeId="urn:microsoft.com/office/officeart/2005/8/quickstyle/3d1" qsCatId="3D" csTypeId="urn:microsoft.com/office/officeart/2005/8/colors/accent1_2" csCatId="accent1" phldr="1"/>
      <dgm:spPr/>
    </dgm:pt>
    <dgm:pt modelId="{7C1FC90E-A3AD-46C3-825C-939743B2AA8F}">
      <dgm:prSet phldrT="[Text]"/>
      <dgm:spPr/>
      <dgm:t>
        <a:bodyPr/>
        <a:lstStyle/>
        <a:p>
          <a:r>
            <a:rPr lang="en-IN"/>
            <a:t>Implement a dynamic pricing model for Vintage Cars in Chatswood</a:t>
          </a:r>
        </a:p>
      </dgm:t>
    </dgm:pt>
    <dgm:pt modelId="{BCBEB213-4F62-4C4A-AAC8-A93B4648386C}" type="parTrans" cxnId="{A6BA4D43-5F07-4900-AEC6-9E734FBA0A33}">
      <dgm:prSet/>
      <dgm:spPr/>
      <dgm:t>
        <a:bodyPr/>
        <a:lstStyle/>
        <a:p>
          <a:endParaRPr lang="en-IN"/>
        </a:p>
      </dgm:t>
    </dgm:pt>
    <dgm:pt modelId="{9851214D-22DD-403A-B89B-D600DADD34EE}" type="sibTrans" cxnId="{A6BA4D43-5F07-4900-AEC6-9E734FBA0A33}">
      <dgm:prSet/>
      <dgm:spPr/>
      <dgm:t>
        <a:bodyPr/>
        <a:lstStyle/>
        <a:p>
          <a:endParaRPr lang="en-IN"/>
        </a:p>
      </dgm:t>
    </dgm:pt>
    <dgm:pt modelId="{F361553F-A313-4562-85C5-CAAFF3E5148E}">
      <dgm:prSet phldrT="[Text]"/>
      <dgm:spPr/>
      <dgm:t>
        <a:bodyPr/>
        <a:lstStyle/>
        <a:p>
          <a:r>
            <a:rPr lang="en-IN"/>
            <a:t>Conduct an immediate forensic business review to isolate the root cause of the sales collapse.</a:t>
          </a:r>
        </a:p>
      </dgm:t>
    </dgm:pt>
    <dgm:pt modelId="{B6964800-B543-442C-B793-26697BF23DA6}" type="sibTrans" cxnId="{44B14D4E-F0A6-47F7-A168-A3F0284BC35C}">
      <dgm:prSet/>
      <dgm:spPr/>
      <dgm:t>
        <a:bodyPr/>
        <a:lstStyle/>
        <a:p>
          <a:endParaRPr lang="en-IN"/>
        </a:p>
      </dgm:t>
    </dgm:pt>
    <dgm:pt modelId="{3C9396CB-FC22-4C96-9D6C-05CD88CDB9AD}" type="parTrans" cxnId="{44B14D4E-F0A6-47F7-A168-A3F0284BC35C}">
      <dgm:prSet/>
      <dgm:spPr/>
      <dgm:t>
        <a:bodyPr/>
        <a:lstStyle/>
        <a:p>
          <a:endParaRPr lang="en-IN"/>
        </a:p>
      </dgm:t>
    </dgm:pt>
    <dgm:pt modelId="{DE1E7BA3-AC32-4892-B511-13891861C76E}">
      <dgm:prSet phldrT="[Text]"/>
      <dgm:spPr/>
      <dgm:t>
        <a:bodyPr/>
        <a:lstStyle/>
        <a:p>
          <a:r>
            <a:rPr lang="en-IN"/>
            <a:t>Gather and review the customer feedback data related to ship catgory</a:t>
          </a:r>
        </a:p>
      </dgm:t>
    </dgm:pt>
    <dgm:pt modelId="{52A45E0D-DECE-4F51-AA6B-90CA8F54F53F}" type="parTrans" cxnId="{ED9B1213-6BE4-4FFE-A470-3A189D368F02}">
      <dgm:prSet/>
      <dgm:spPr/>
      <dgm:t>
        <a:bodyPr/>
        <a:lstStyle/>
        <a:p>
          <a:endParaRPr lang="en-IN"/>
        </a:p>
      </dgm:t>
    </dgm:pt>
    <dgm:pt modelId="{460A3397-7A3A-48CB-BFC0-353BAE4CE850}" type="sibTrans" cxnId="{ED9B1213-6BE4-4FFE-A470-3A189D368F02}">
      <dgm:prSet/>
      <dgm:spPr/>
      <dgm:t>
        <a:bodyPr/>
        <a:lstStyle/>
        <a:p>
          <a:endParaRPr lang="en-IN"/>
        </a:p>
      </dgm:t>
    </dgm:pt>
    <dgm:pt modelId="{8B59C289-C32A-4101-8802-06D48FBC0165}">
      <dgm:prSet phldrT="[Text]"/>
      <dgm:spPr/>
      <dgm:t>
        <a:bodyPr/>
        <a:lstStyle/>
        <a:p>
          <a:r>
            <a:rPr lang="en-IN"/>
            <a:t>Optimize inventory management based on monthly sales trends</a:t>
          </a:r>
        </a:p>
      </dgm:t>
    </dgm:pt>
    <dgm:pt modelId="{E1212063-ECA6-453C-95CF-F2423503908A}" type="parTrans" cxnId="{6374916F-208C-42EB-8BD4-8EA42B32E0E0}">
      <dgm:prSet/>
      <dgm:spPr/>
      <dgm:t>
        <a:bodyPr/>
        <a:lstStyle/>
        <a:p>
          <a:endParaRPr lang="en-IN"/>
        </a:p>
      </dgm:t>
    </dgm:pt>
    <dgm:pt modelId="{E305BCA3-A551-41FA-B7A9-475485F773F1}" type="sibTrans" cxnId="{6374916F-208C-42EB-8BD4-8EA42B32E0E0}">
      <dgm:prSet/>
      <dgm:spPr/>
      <dgm:t>
        <a:bodyPr/>
        <a:lstStyle/>
        <a:p>
          <a:endParaRPr lang="en-IN"/>
        </a:p>
      </dgm:t>
    </dgm:pt>
    <dgm:pt modelId="{C44442E2-62A2-475D-9D45-A1E22226C123}">
      <dgm:prSet phldrT="[Text]"/>
      <dgm:spPr/>
      <dgm:t>
        <a:bodyPr/>
        <a:lstStyle/>
        <a:p>
          <a:r>
            <a:rPr lang="en-IN"/>
            <a:t>Perform an economic analysis of the current product line-up and adjust purchasing practices accordingly.</a:t>
          </a:r>
        </a:p>
      </dgm:t>
    </dgm:pt>
    <dgm:pt modelId="{DE9FB076-B9EA-4FE3-B253-4DF72AF39149}" type="parTrans" cxnId="{CD95F66B-658A-47D8-A3D0-0AFD78263A37}">
      <dgm:prSet/>
      <dgm:spPr/>
      <dgm:t>
        <a:bodyPr/>
        <a:lstStyle/>
        <a:p>
          <a:endParaRPr lang="en-IN"/>
        </a:p>
      </dgm:t>
    </dgm:pt>
    <dgm:pt modelId="{D7A66F90-6F37-40BC-9AE5-601480052D58}" type="sibTrans" cxnId="{CD95F66B-658A-47D8-A3D0-0AFD78263A37}">
      <dgm:prSet/>
      <dgm:spPr/>
      <dgm:t>
        <a:bodyPr/>
        <a:lstStyle/>
        <a:p>
          <a:endParaRPr lang="en-IN"/>
        </a:p>
      </dgm:t>
    </dgm:pt>
    <dgm:pt modelId="{6DC92627-0B5D-4F8D-9F92-A41767D22E3F}">
      <dgm:prSet phldrT="[Text]"/>
      <dgm:spPr/>
      <dgm:t>
        <a:bodyPr/>
        <a:lstStyle/>
        <a:p>
          <a:r>
            <a:rPr lang="en-IN"/>
            <a:t>Analyze and document the major events and promotional strategies employed during the 2004.</a:t>
          </a:r>
        </a:p>
      </dgm:t>
    </dgm:pt>
    <dgm:pt modelId="{6E0214B9-C97E-4A61-B6F8-5AD674721495}" type="parTrans" cxnId="{79ED54CD-B85F-47CE-A2AB-3E188A4B628B}">
      <dgm:prSet/>
      <dgm:spPr/>
      <dgm:t>
        <a:bodyPr/>
        <a:lstStyle/>
        <a:p>
          <a:endParaRPr lang="en-IN"/>
        </a:p>
      </dgm:t>
    </dgm:pt>
    <dgm:pt modelId="{10C12376-BE07-4707-85B3-9353A71C2E4A}" type="sibTrans" cxnId="{79ED54CD-B85F-47CE-A2AB-3E188A4B628B}">
      <dgm:prSet/>
      <dgm:spPr/>
      <dgm:t>
        <a:bodyPr/>
        <a:lstStyle/>
        <a:p>
          <a:endParaRPr lang="en-IN"/>
        </a:p>
      </dgm:t>
    </dgm:pt>
    <dgm:pt modelId="{2FC9BC99-228B-4252-9B84-F9B8FD7F6529}">
      <dgm:prSet phldrT="[Text]"/>
      <dgm:spPr/>
      <dgm:t>
        <a:bodyPr/>
        <a:lstStyle/>
        <a:p>
          <a:r>
            <a:rPr lang="en-IN"/>
            <a:t>Evaluate distribution strategy and optimize after sale service for Melbourne customers.</a:t>
          </a:r>
        </a:p>
      </dgm:t>
    </dgm:pt>
    <dgm:pt modelId="{E6DCB010-1DD0-41E2-B713-7F1EC474DF62}" type="parTrans" cxnId="{FA7C90C4-C99C-45B4-AF53-8DA10487EBFC}">
      <dgm:prSet/>
      <dgm:spPr/>
      <dgm:t>
        <a:bodyPr/>
        <a:lstStyle/>
        <a:p>
          <a:endParaRPr lang="en-IN"/>
        </a:p>
      </dgm:t>
    </dgm:pt>
    <dgm:pt modelId="{4570AAEA-B9C1-41A3-A099-2C4D1350230D}" type="sibTrans" cxnId="{FA7C90C4-C99C-45B4-AF53-8DA10487EBFC}">
      <dgm:prSet/>
      <dgm:spPr/>
      <dgm:t>
        <a:bodyPr/>
        <a:lstStyle/>
        <a:p>
          <a:endParaRPr lang="en-IN"/>
        </a:p>
      </dgm:t>
    </dgm:pt>
    <dgm:pt modelId="{A44E6595-36B5-48A5-9D94-169539DB6934}">
      <dgm:prSet phldrT="[Text]"/>
      <dgm:spPr/>
      <dgm:t>
        <a:bodyPr/>
        <a:lstStyle/>
        <a:p>
          <a:r>
            <a:rPr lang="en-IN"/>
            <a:t>Increase production and marketing for the classic VIntage Cars categories.</a:t>
          </a:r>
        </a:p>
      </dgm:t>
    </dgm:pt>
    <dgm:pt modelId="{DAAF26A2-6A25-4F4B-879E-0A4B6F118221}" type="parTrans" cxnId="{88DBD65D-4494-4AB5-B7FC-13E3845D38CB}">
      <dgm:prSet/>
      <dgm:spPr/>
      <dgm:t>
        <a:bodyPr/>
        <a:lstStyle/>
        <a:p>
          <a:endParaRPr lang="en-IN"/>
        </a:p>
      </dgm:t>
    </dgm:pt>
    <dgm:pt modelId="{921D2028-BA46-4730-B85D-707AAB260819}" type="sibTrans" cxnId="{88DBD65D-4494-4AB5-B7FC-13E3845D38CB}">
      <dgm:prSet/>
      <dgm:spPr/>
      <dgm:t>
        <a:bodyPr/>
        <a:lstStyle/>
        <a:p>
          <a:endParaRPr lang="en-IN"/>
        </a:p>
      </dgm:t>
    </dgm:pt>
    <dgm:pt modelId="{C3BA44E9-DC1B-4494-8FF5-64D8D2F2B04C}">
      <dgm:prSet phldrT="[Text]"/>
      <dgm:spPr/>
      <dgm:t>
        <a:bodyPr/>
        <a:lstStyle/>
        <a:p>
          <a:r>
            <a:rPr lang="en-IN"/>
            <a:t>Develop a targeted loyalty program and execute exclusive advertising campaigns for our top-tier customers.</a:t>
          </a:r>
        </a:p>
      </dgm:t>
    </dgm:pt>
    <dgm:pt modelId="{A075405D-A473-4DC1-92FF-C3A060A71924}" type="parTrans" cxnId="{3D96519E-1DFA-4974-AC16-04344C019A0A}">
      <dgm:prSet/>
      <dgm:spPr/>
      <dgm:t>
        <a:bodyPr/>
        <a:lstStyle/>
        <a:p>
          <a:endParaRPr lang="en-IN"/>
        </a:p>
      </dgm:t>
    </dgm:pt>
    <dgm:pt modelId="{4BB95E21-30F7-4AD7-A894-A12529FCB3B4}" type="sibTrans" cxnId="{3D96519E-1DFA-4974-AC16-04344C019A0A}">
      <dgm:prSet/>
      <dgm:spPr/>
      <dgm:t>
        <a:bodyPr/>
        <a:lstStyle/>
        <a:p>
          <a:endParaRPr lang="en-IN"/>
        </a:p>
      </dgm:t>
    </dgm:pt>
    <dgm:pt modelId="{F78486A2-711E-4A79-B956-28F96A0C1A23}" type="pres">
      <dgm:prSet presAssocID="{08102D80-0F31-4E74-A8D8-6588DA9E0096}" presName="CompostProcess" presStyleCnt="0">
        <dgm:presLayoutVars>
          <dgm:dir/>
          <dgm:resizeHandles val="exact"/>
        </dgm:presLayoutVars>
      </dgm:prSet>
      <dgm:spPr/>
    </dgm:pt>
    <dgm:pt modelId="{C689AB15-727D-48B0-A8BD-1A8DB5A5B709}" type="pres">
      <dgm:prSet presAssocID="{08102D80-0F31-4E74-A8D8-6588DA9E0096}" presName="arrow" presStyleLbl="bgShp" presStyleIdx="0" presStyleCnt="1" custScaleX="117647"/>
      <dgm:spPr/>
    </dgm:pt>
    <dgm:pt modelId="{9DCB7395-CAF9-4F46-8F50-B658178AB1EA}" type="pres">
      <dgm:prSet presAssocID="{08102D80-0F31-4E74-A8D8-6588DA9E0096}" presName="linearProcess" presStyleCnt="0"/>
      <dgm:spPr/>
    </dgm:pt>
    <dgm:pt modelId="{A4AB9943-236C-4B5E-A49C-3B9222B7D136}" type="pres">
      <dgm:prSet presAssocID="{F361553F-A313-4562-85C5-CAAFF3E5148E}" presName="textNode" presStyleLbl="node1" presStyleIdx="0" presStyleCnt="9">
        <dgm:presLayoutVars>
          <dgm:bulletEnabled val="1"/>
        </dgm:presLayoutVars>
      </dgm:prSet>
      <dgm:spPr/>
    </dgm:pt>
    <dgm:pt modelId="{6253FE12-0DC6-49BC-BA0A-13124F51F6E1}" type="pres">
      <dgm:prSet presAssocID="{B6964800-B543-442C-B793-26697BF23DA6}" presName="sibTrans" presStyleCnt="0"/>
      <dgm:spPr/>
    </dgm:pt>
    <dgm:pt modelId="{B2BF990F-BBA1-48DC-B8A9-7B7ADD672810}" type="pres">
      <dgm:prSet presAssocID="{DE1E7BA3-AC32-4892-B511-13891861C76E}" presName="textNode" presStyleLbl="node1" presStyleIdx="1" presStyleCnt="9">
        <dgm:presLayoutVars>
          <dgm:bulletEnabled val="1"/>
        </dgm:presLayoutVars>
      </dgm:prSet>
      <dgm:spPr/>
    </dgm:pt>
    <dgm:pt modelId="{ECD4477C-70D7-4E2E-BF69-D91D611BC396}" type="pres">
      <dgm:prSet presAssocID="{460A3397-7A3A-48CB-BFC0-353BAE4CE850}" presName="sibTrans" presStyleCnt="0"/>
      <dgm:spPr/>
    </dgm:pt>
    <dgm:pt modelId="{DAD77BFD-9F63-427E-961E-DE1D61DD4A07}" type="pres">
      <dgm:prSet presAssocID="{7C1FC90E-A3AD-46C3-825C-939743B2AA8F}" presName="textNode" presStyleLbl="node1" presStyleIdx="2" presStyleCnt="9">
        <dgm:presLayoutVars>
          <dgm:bulletEnabled val="1"/>
        </dgm:presLayoutVars>
      </dgm:prSet>
      <dgm:spPr/>
    </dgm:pt>
    <dgm:pt modelId="{5903B7D9-6823-4173-8CF2-2BEA59B3E06E}" type="pres">
      <dgm:prSet presAssocID="{9851214D-22DD-403A-B89B-D600DADD34EE}" presName="sibTrans" presStyleCnt="0"/>
      <dgm:spPr/>
    </dgm:pt>
    <dgm:pt modelId="{DDB6A5DA-4ECB-4326-A582-5C28B3D6F64A}" type="pres">
      <dgm:prSet presAssocID="{8B59C289-C32A-4101-8802-06D48FBC0165}" presName="textNode" presStyleLbl="node1" presStyleIdx="3" presStyleCnt="9">
        <dgm:presLayoutVars>
          <dgm:bulletEnabled val="1"/>
        </dgm:presLayoutVars>
      </dgm:prSet>
      <dgm:spPr/>
    </dgm:pt>
    <dgm:pt modelId="{63A047DC-902E-4193-99A0-942EFA4AB015}" type="pres">
      <dgm:prSet presAssocID="{E305BCA3-A551-41FA-B7A9-475485F773F1}" presName="sibTrans" presStyleCnt="0"/>
      <dgm:spPr/>
    </dgm:pt>
    <dgm:pt modelId="{31F6F06A-6A3E-4232-8ED9-E2B19317F494}" type="pres">
      <dgm:prSet presAssocID="{C44442E2-62A2-475D-9D45-A1E22226C123}" presName="textNode" presStyleLbl="node1" presStyleIdx="4" presStyleCnt="9">
        <dgm:presLayoutVars>
          <dgm:bulletEnabled val="1"/>
        </dgm:presLayoutVars>
      </dgm:prSet>
      <dgm:spPr/>
    </dgm:pt>
    <dgm:pt modelId="{D02A7D4E-89E7-4B40-8FBA-3706B0B95F1C}" type="pres">
      <dgm:prSet presAssocID="{D7A66F90-6F37-40BC-9AE5-601480052D58}" presName="sibTrans" presStyleCnt="0"/>
      <dgm:spPr/>
    </dgm:pt>
    <dgm:pt modelId="{B08D4E8A-81B6-46B2-B9B2-48085234AFA2}" type="pres">
      <dgm:prSet presAssocID="{6DC92627-0B5D-4F8D-9F92-A41767D22E3F}" presName="textNode" presStyleLbl="node1" presStyleIdx="5" presStyleCnt="9">
        <dgm:presLayoutVars>
          <dgm:bulletEnabled val="1"/>
        </dgm:presLayoutVars>
      </dgm:prSet>
      <dgm:spPr/>
    </dgm:pt>
    <dgm:pt modelId="{D3024211-4F61-4EDA-8DD6-3FD870CD11A8}" type="pres">
      <dgm:prSet presAssocID="{10C12376-BE07-4707-85B3-9353A71C2E4A}" presName="sibTrans" presStyleCnt="0"/>
      <dgm:spPr/>
    </dgm:pt>
    <dgm:pt modelId="{2B9CA550-1316-449D-935A-6B84F3F361D2}" type="pres">
      <dgm:prSet presAssocID="{2FC9BC99-228B-4252-9B84-F9B8FD7F6529}" presName="textNode" presStyleLbl="node1" presStyleIdx="6" presStyleCnt="9">
        <dgm:presLayoutVars>
          <dgm:bulletEnabled val="1"/>
        </dgm:presLayoutVars>
      </dgm:prSet>
      <dgm:spPr/>
    </dgm:pt>
    <dgm:pt modelId="{FD87854F-9B21-4596-920C-C92F29BCCFDF}" type="pres">
      <dgm:prSet presAssocID="{4570AAEA-B9C1-41A3-A099-2C4D1350230D}" presName="sibTrans" presStyleCnt="0"/>
      <dgm:spPr/>
    </dgm:pt>
    <dgm:pt modelId="{D9FACC0A-B8FE-49BD-8AF1-EEA576915977}" type="pres">
      <dgm:prSet presAssocID="{A44E6595-36B5-48A5-9D94-169539DB6934}" presName="textNode" presStyleLbl="node1" presStyleIdx="7" presStyleCnt="9">
        <dgm:presLayoutVars>
          <dgm:bulletEnabled val="1"/>
        </dgm:presLayoutVars>
      </dgm:prSet>
      <dgm:spPr/>
    </dgm:pt>
    <dgm:pt modelId="{29DB201D-FCC0-4B3D-A552-C8486635001C}" type="pres">
      <dgm:prSet presAssocID="{921D2028-BA46-4730-B85D-707AAB260819}" presName="sibTrans" presStyleCnt="0"/>
      <dgm:spPr/>
    </dgm:pt>
    <dgm:pt modelId="{EB9F7528-CFC6-4A86-84D3-6D3D1EE06D5F}" type="pres">
      <dgm:prSet presAssocID="{C3BA44E9-DC1B-4494-8FF5-64D8D2F2B04C}" presName="textNode" presStyleLbl="node1" presStyleIdx="8" presStyleCnt="9">
        <dgm:presLayoutVars>
          <dgm:bulletEnabled val="1"/>
        </dgm:presLayoutVars>
      </dgm:prSet>
      <dgm:spPr/>
    </dgm:pt>
  </dgm:ptLst>
  <dgm:cxnLst>
    <dgm:cxn modelId="{ED9B1213-6BE4-4FFE-A470-3A189D368F02}" srcId="{08102D80-0F31-4E74-A8D8-6588DA9E0096}" destId="{DE1E7BA3-AC32-4892-B511-13891861C76E}" srcOrd="1" destOrd="0" parTransId="{52A45E0D-DECE-4F51-AA6B-90CA8F54F53F}" sibTransId="{460A3397-7A3A-48CB-BFC0-353BAE4CE850}"/>
    <dgm:cxn modelId="{2C17C413-225C-42C7-A12D-9EE4D61A3640}" type="presOf" srcId="{DE1E7BA3-AC32-4892-B511-13891861C76E}" destId="{B2BF990F-BBA1-48DC-B8A9-7B7ADD672810}" srcOrd="0" destOrd="0" presId="urn:microsoft.com/office/officeart/2005/8/layout/hProcess9"/>
    <dgm:cxn modelId="{FE523538-5E66-4C1F-82DB-3CCC805B518A}" type="presOf" srcId="{A44E6595-36B5-48A5-9D94-169539DB6934}" destId="{D9FACC0A-B8FE-49BD-8AF1-EEA576915977}" srcOrd="0" destOrd="0" presId="urn:microsoft.com/office/officeart/2005/8/layout/hProcess9"/>
    <dgm:cxn modelId="{B4EDF838-3D20-4D08-A38C-53DB0C23788D}" type="presOf" srcId="{F361553F-A313-4562-85C5-CAAFF3E5148E}" destId="{A4AB9943-236C-4B5E-A49C-3B9222B7D136}" srcOrd="0" destOrd="0" presId="urn:microsoft.com/office/officeart/2005/8/layout/hProcess9"/>
    <dgm:cxn modelId="{88DBD65D-4494-4AB5-B7FC-13E3845D38CB}" srcId="{08102D80-0F31-4E74-A8D8-6588DA9E0096}" destId="{A44E6595-36B5-48A5-9D94-169539DB6934}" srcOrd="7" destOrd="0" parTransId="{DAAF26A2-6A25-4F4B-879E-0A4B6F118221}" sibTransId="{921D2028-BA46-4730-B85D-707AAB260819}"/>
    <dgm:cxn modelId="{A6BA4D43-5F07-4900-AEC6-9E734FBA0A33}" srcId="{08102D80-0F31-4E74-A8D8-6588DA9E0096}" destId="{7C1FC90E-A3AD-46C3-825C-939743B2AA8F}" srcOrd="2" destOrd="0" parTransId="{BCBEB213-4F62-4C4A-AAC8-A93B4648386C}" sibTransId="{9851214D-22DD-403A-B89B-D600DADD34EE}"/>
    <dgm:cxn modelId="{93980348-9E41-4DED-90E5-9C8D3022AA42}" type="presOf" srcId="{6DC92627-0B5D-4F8D-9F92-A41767D22E3F}" destId="{B08D4E8A-81B6-46B2-B9B2-48085234AFA2}" srcOrd="0" destOrd="0" presId="urn:microsoft.com/office/officeart/2005/8/layout/hProcess9"/>
    <dgm:cxn modelId="{CD95F66B-658A-47D8-A3D0-0AFD78263A37}" srcId="{08102D80-0F31-4E74-A8D8-6588DA9E0096}" destId="{C44442E2-62A2-475D-9D45-A1E22226C123}" srcOrd="4" destOrd="0" parTransId="{DE9FB076-B9EA-4FE3-B253-4DF72AF39149}" sibTransId="{D7A66F90-6F37-40BC-9AE5-601480052D58}"/>
    <dgm:cxn modelId="{44B14D4E-F0A6-47F7-A168-A3F0284BC35C}" srcId="{08102D80-0F31-4E74-A8D8-6588DA9E0096}" destId="{F361553F-A313-4562-85C5-CAAFF3E5148E}" srcOrd="0" destOrd="0" parTransId="{3C9396CB-FC22-4C96-9D6C-05CD88CDB9AD}" sibTransId="{B6964800-B543-442C-B793-26697BF23DA6}"/>
    <dgm:cxn modelId="{6374916F-208C-42EB-8BD4-8EA42B32E0E0}" srcId="{08102D80-0F31-4E74-A8D8-6588DA9E0096}" destId="{8B59C289-C32A-4101-8802-06D48FBC0165}" srcOrd="3" destOrd="0" parTransId="{E1212063-ECA6-453C-95CF-F2423503908A}" sibTransId="{E305BCA3-A551-41FA-B7A9-475485F773F1}"/>
    <dgm:cxn modelId="{CAC96754-3D93-4909-B2B5-CDD6A20A20C1}" type="presOf" srcId="{C3BA44E9-DC1B-4494-8FF5-64D8D2F2B04C}" destId="{EB9F7528-CFC6-4A86-84D3-6D3D1EE06D5F}" srcOrd="0" destOrd="0" presId="urn:microsoft.com/office/officeart/2005/8/layout/hProcess9"/>
    <dgm:cxn modelId="{CD0CA27F-5CDA-4886-A686-0B0E3321DE16}" type="presOf" srcId="{C44442E2-62A2-475D-9D45-A1E22226C123}" destId="{31F6F06A-6A3E-4232-8ED9-E2B19317F494}" srcOrd="0" destOrd="0" presId="urn:microsoft.com/office/officeart/2005/8/layout/hProcess9"/>
    <dgm:cxn modelId="{4F05178C-4447-4754-8A79-10FE7AB78A56}" type="presOf" srcId="{2FC9BC99-228B-4252-9B84-F9B8FD7F6529}" destId="{2B9CA550-1316-449D-935A-6B84F3F361D2}" srcOrd="0" destOrd="0" presId="urn:microsoft.com/office/officeart/2005/8/layout/hProcess9"/>
    <dgm:cxn modelId="{3D96519E-1DFA-4974-AC16-04344C019A0A}" srcId="{08102D80-0F31-4E74-A8D8-6588DA9E0096}" destId="{C3BA44E9-DC1B-4494-8FF5-64D8D2F2B04C}" srcOrd="8" destOrd="0" parTransId="{A075405D-A473-4DC1-92FF-C3A060A71924}" sibTransId="{4BB95E21-30F7-4AD7-A894-A12529FCB3B4}"/>
    <dgm:cxn modelId="{3D6C4EB8-7EE0-46D0-99BB-3C16B6A286CF}" type="presOf" srcId="{8B59C289-C32A-4101-8802-06D48FBC0165}" destId="{DDB6A5DA-4ECB-4326-A582-5C28B3D6F64A}" srcOrd="0" destOrd="0" presId="urn:microsoft.com/office/officeart/2005/8/layout/hProcess9"/>
    <dgm:cxn modelId="{9076F1BE-43A8-44B4-9A91-2408F7C48E71}" type="presOf" srcId="{08102D80-0F31-4E74-A8D8-6588DA9E0096}" destId="{F78486A2-711E-4A79-B956-28F96A0C1A23}" srcOrd="0" destOrd="0" presId="urn:microsoft.com/office/officeart/2005/8/layout/hProcess9"/>
    <dgm:cxn modelId="{FA7C90C4-C99C-45B4-AF53-8DA10487EBFC}" srcId="{08102D80-0F31-4E74-A8D8-6588DA9E0096}" destId="{2FC9BC99-228B-4252-9B84-F9B8FD7F6529}" srcOrd="6" destOrd="0" parTransId="{E6DCB010-1DD0-41E2-B713-7F1EC474DF62}" sibTransId="{4570AAEA-B9C1-41A3-A099-2C4D1350230D}"/>
    <dgm:cxn modelId="{FAA5E8C4-AF2F-4599-B1F1-94107C78EE7B}" type="presOf" srcId="{7C1FC90E-A3AD-46C3-825C-939743B2AA8F}" destId="{DAD77BFD-9F63-427E-961E-DE1D61DD4A07}" srcOrd="0" destOrd="0" presId="urn:microsoft.com/office/officeart/2005/8/layout/hProcess9"/>
    <dgm:cxn modelId="{79ED54CD-B85F-47CE-A2AB-3E188A4B628B}" srcId="{08102D80-0F31-4E74-A8D8-6588DA9E0096}" destId="{6DC92627-0B5D-4F8D-9F92-A41767D22E3F}" srcOrd="5" destOrd="0" parTransId="{6E0214B9-C97E-4A61-B6F8-5AD674721495}" sibTransId="{10C12376-BE07-4707-85B3-9353A71C2E4A}"/>
    <dgm:cxn modelId="{ABBF1A9E-E9F8-4F56-996B-267767E4A9AA}" type="presParOf" srcId="{F78486A2-711E-4A79-B956-28F96A0C1A23}" destId="{C689AB15-727D-48B0-A8BD-1A8DB5A5B709}" srcOrd="0" destOrd="0" presId="urn:microsoft.com/office/officeart/2005/8/layout/hProcess9"/>
    <dgm:cxn modelId="{DDE32E8A-BBBC-454A-BDE7-BD96A0147159}" type="presParOf" srcId="{F78486A2-711E-4A79-B956-28F96A0C1A23}" destId="{9DCB7395-CAF9-4F46-8F50-B658178AB1EA}" srcOrd="1" destOrd="0" presId="urn:microsoft.com/office/officeart/2005/8/layout/hProcess9"/>
    <dgm:cxn modelId="{57B684AB-B461-4996-A154-393022074D00}" type="presParOf" srcId="{9DCB7395-CAF9-4F46-8F50-B658178AB1EA}" destId="{A4AB9943-236C-4B5E-A49C-3B9222B7D136}" srcOrd="0" destOrd="0" presId="urn:microsoft.com/office/officeart/2005/8/layout/hProcess9"/>
    <dgm:cxn modelId="{0784B5DD-B0FD-403B-B119-E5509F425DAD}" type="presParOf" srcId="{9DCB7395-CAF9-4F46-8F50-B658178AB1EA}" destId="{6253FE12-0DC6-49BC-BA0A-13124F51F6E1}" srcOrd="1" destOrd="0" presId="urn:microsoft.com/office/officeart/2005/8/layout/hProcess9"/>
    <dgm:cxn modelId="{1D6B1E03-186D-4DC1-86A7-0C3DC6589EA4}" type="presParOf" srcId="{9DCB7395-CAF9-4F46-8F50-B658178AB1EA}" destId="{B2BF990F-BBA1-48DC-B8A9-7B7ADD672810}" srcOrd="2" destOrd="0" presId="urn:microsoft.com/office/officeart/2005/8/layout/hProcess9"/>
    <dgm:cxn modelId="{B3D415DB-780B-4EAC-9963-EC2CD7E4F41C}" type="presParOf" srcId="{9DCB7395-CAF9-4F46-8F50-B658178AB1EA}" destId="{ECD4477C-70D7-4E2E-BF69-D91D611BC396}" srcOrd="3" destOrd="0" presId="urn:microsoft.com/office/officeart/2005/8/layout/hProcess9"/>
    <dgm:cxn modelId="{A47F8FD7-66A0-43D5-B40A-2424F81771B3}" type="presParOf" srcId="{9DCB7395-CAF9-4F46-8F50-B658178AB1EA}" destId="{DAD77BFD-9F63-427E-961E-DE1D61DD4A07}" srcOrd="4" destOrd="0" presId="urn:microsoft.com/office/officeart/2005/8/layout/hProcess9"/>
    <dgm:cxn modelId="{DF39A436-9022-42CD-BEB4-8AEA3B770801}" type="presParOf" srcId="{9DCB7395-CAF9-4F46-8F50-B658178AB1EA}" destId="{5903B7D9-6823-4173-8CF2-2BEA59B3E06E}" srcOrd="5" destOrd="0" presId="urn:microsoft.com/office/officeart/2005/8/layout/hProcess9"/>
    <dgm:cxn modelId="{6033DCDF-AD81-4294-8B63-C6D94B740DE8}" type="presParOf" srcId="{9DCB7395-CAF9-4F46-8F50-B658178AB1EA}" destId="{DDB6A5DA-4ECB-4326-A582-5C28B3D6F64A}" srcOrd="6" destOrd="0" presId="urn:microsoft.com/office/officeart/2005/8/layout/hProcess9"/>
    <dgm:cxn modelId="{C780C615-F3AE-4093-B30D-49DFEBA1AFEB}" type="presParOf" srcId="{9DCB7395-CAF9-4F46-8F50-B658178AB1EA}" destId="{63A047DC-902E-4193-99A0-942EFA4AB015}" srcOrd="7" destOrd="0" presId="urn:microsoft.com/office/officeart/2005/8/layout/hProcess9"/>
    <dgm:cxn modelId="{F0B0F9D8-0A92-4699-A13E-B6FCD7A9A2BC}" type="presParOf" srcId="{9DCB7395-CAF9-4F46-8F50-B658178AB1EA}" destId="{31F6F06A-6A3E-4232-8ED9-E2B19317F494}" srcOrd="8" destOrd="0" presId="urn:microsoft.com/office/officeart/2005/8/layout/hProcess9"/>
    <dgm:cxn modelId="{278D943F-026A-42BA-B4CD-D5967416CD6A}" type="presParOf" srcId="{9DCB7395-CAF9-4F46-8F50-B658178AB1EA}" destId="{D02A7D4E-89E7-4B40-8FBA-3706B0B95F1C}" srcOrd="9" destOrd="0" presId="urn:microsoft.com/office/officeart/2005/8/layout/hProcess9"/>
    <dgm:cxn modelId="{FDD5ECE0-CA89-452B-8F27-83FB24D63D3A}" type="presParOf" srcId="{9DCB7395-CAF9-4F46-8F50-B658178AB1EA}" destId="{B08D4E8A-81B6-46B2-B9B2-48085234AFA2}" srcOrd="10" destOrd="0" presId="urn:microsoft.com/office/officeart/2005/8/layout/hProcess9"/>
    <dgm:cxn modelId="{39249D0B-32E3-46F0-8BE4-510AD2DF62F5}" type="presParOf" srcId="{9DCB7395-CAF9-4F46-8F50-B658178AB1EA}" destId="{D3024211-4F61-4EDA-8DD6-3FD870CD11A8}" srcOrd="11" destOrd="0" presId="urn:microsoft.com/office/officeart/2005/8/layout/hProcess9"/>
    <dgm:cxn modelId="{522839A9-3A52-4BC7-85D1-EB790811B654}" type="presParOf" srcId="{9DCB7395-CAF9-4F46-8F50-B658178AB1EA}" destId="{2B9CA550-1316-449D-935A-6B84F3F361D2}" srcOrd="12" destOrd="0" presId="urn:microsoft.com/office/officeart/2005/8/layout/hProcess9"/>
    <dgm:cxn modelId="{5EE646CD-EF0B-486C-8E7C-6C855AA19B9E}" type="presParOf" srcId="{9DCB7395-CAF9-4F46-8F50-B658178AB1EA}" destId="{FD87854F-9B21-4596-920C-C92F29BCCFDF}" srcOrd="13" destOrd="0" presId="urn:microsoft.com/office/officeart/2005/8/layout/hProcess9"/>
    <dgm:cxn modelId="{4D522D7B-356C-49EF-84B5-11C3DC7D1448}" type="presParOf" srcId="{9DCB7395-CAF9-4F46-8F50-B658178AB1EA}" destId="{D9FACC0A-B8FE-49BD-8AF1-EEA576915977}" srcOrd="14" destOrd="0" presId="urn:microsoft.com/office/officeart/2005/8/layout/hProcess9"/>
    <dgm:cxn modelId="{8A7D2AAE-4252-404A-B8A8-D0621C23662C}" type="presParOf" srcId="{9DCB7395-CAF9-4F46-8F50-B658178AB1EA}" destId="{29DB201D-FCC0-4B3D-A552-C8486635001C}" srcOrd="15" destOrd="0" presId="urn:microsoft.com/office/officeart/2005/8/layout/hProcess9"/>
    <dgm:cxn modelId="{99E80C85-C6C1-4D2A-842A-7A242C4E2B83}" type="presParOf" srcId="{9DCB7395-CAF9-4F46-8F50-B658178AB1EA}" destId="{EB9F7528-CFC6-4A86-84D3-6D3D1EE06D5F}" srcOrd="16" destOrd="0" presId="urn:microsoft.com/office/officeart/2005/8/layout/hProcess9"/>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C689AB15-727D-48B0-A8BD-1A8DB5A5B709}">
      <dsp:nvSpPr>
        <dsp:cNvPr id="0" name=""/>
        <dsp:cNvSpPr/>
      </dsp:nvSpPr>
      <dsp:spPr>
        <a:xfrm>
          <a:off x="5" y="0"/>
          <a:ext cx="21573819" cy="4798421"/>
        </a:xfrm>
        <a:prstGeom prst="rightArrow">
          <a:avLst/>
        </a:prstGeom>
        <a:gradFill rotWithShape="0">
          <a:gsLst>
            <a:gs pos="0">
              <a:schemeClr val="accent1">
                <a:tint val="40000"/>
                <a:hueOff val="0"/>
                <a:satOff val="0"/>
                <a:lumOff val="0"/>
                <a:alphaOff val="0"/>
                <a:shade val="51000"/>
                <a:satMod val="130000"/>
              </a:schemeClr>
            </a:gs>
            <a:gs pos="80000">
              <a:schemeClr val="accent1">
                <a:tint val="40000"/>
                <a:hueOff val="0"/>
                <a:satOff val="0"/>
                <a:lumOff val="0"/>
                <a:alphaOff val="0"/>
                <a:shade val="93000"/>
                <a:satMod val="130000"/>
              </a:schemeClr>
            </a:gs>
            <a:gs pos="100000">
              <a:schemeClr val="accent1">
                <a:tint val="40000"/>
                <a:hueOff val="0"/>
                <a:satOff val="0"/>
                <a:lumOff val="0"/>
                <a:alphaOff val="0"/>
                <a:shade val="94000"/>
                <a:satMod val="135000"/>
              </a:schemeClr>
            </a:gs>
          </a:gsLst>
          <a:lin ang="16200000" scaled="0"/>
        </a:gradFill>
        <a:ln>
          <a:noFill/>
        </a:ln>
        <a:effectLst/>
        <a:scene3d>
          <a:camera prst="orthographicFront"/>
          <a:lightRig rig="flat" dir="t"/>
        </a:scene3d>
        <a:sp3d z="-190500" extrusionH="12700" prstMaterial="plastic">
          <a:bevelT w="50800" h="50800"/>
        </a:sp3d>
      </dsp:spPr>
      <dsp:style>
        <a:lnRef idx="0">
          <a:scrgbClr r="0" g="0" b="0"/>
        </a:lnRef>
        <a:fillRef idx="3">
          <a:scrgbClr r="0" g="0" b="0"/>
        </a:fillRef>
        <a:effectRef idx="0">
          <a:scrgbClr r="0" g="0" b="0"/>
        </a:effectRef>
        <a:fontRef idx="minor"/>
      </dsp:style>
    </dsp:sp>
    <dsp:sp modelId="{A4AB9943-236C-4B5E-A49C-3B9222B7D136}">
      <dsp:nvSpPr>
        <dsp:cNvPr id="0" name=""/>
        <dsp:cNvSpPr/>
      </dsp:nvSpPr>
      <dsp:spPr>
        <a:xfrm>
          <a:off x="6057" y="1439526"/>
          <a:ext cx="2293799" cy="1919368"/>
        </a:xfrm>
        <a:prstGeom prst="roundRect">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68580" tIns="68580" rIns="68580" bIns="68580" numCol="1" spcCol="1270" anchor="ctr" anchorCtr="0">
          <a:noAutofit/>
        </a:bodyPr>
        <a:lstStyle/>
        <a:p>
          <a:pPr marL="0" lvl="0" indent="0" algn="ctr" defTabSz="800100">
            <a:lnSpc>
              <a:spcPct val="90000"/>
            </a:lnSpc>
            <a:spcBef>
              <a:spcPct val="0"/>
            </a:spcBef>
            <a:spcAft>
              <a:spcPct val="35000"/>
            </a:spcAft>
            <a:buNone/>
          </a:pPr>
          <a:r>
            <a:rPr lang="en-IN" sz="1800" kern="1200"/>
            <a:t>Conduct an immediate forensic business review to isolate the root cause of the sales collapse.</a:t>
          </a:r>
        </a:p>
      </dsp:txBody>
      <dsp:txXfrm>
        <a:off x="99753" y="1533222"/>
        <a:ext cx="2106407" cy="1731976"/>
      </dsp:txXfrm>
    </dsp:sp>
    <dsp:sp modelId="{B2BF990F-BBA1-48DC-B8A9-7B7ADD672810}">
      <dsp:nvSpPr>
        <dsp:cNvPr id="0" name=""/>
        <dsp:cNvSpPr/>
      </dsp:nvSpPr>
      <dsp:spPr>
        <a:xfrm>
          <a:off x="2414546" y="1439526"/>
          <a:ext cx="2293799" cy="1919368"/>
        </a:xfrm>
        <a:prstGeom prst="roundRect">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68580" tIns="68580" rIns="68580" bIns="68580" numCol="1" spcCol="1270" anchor="ctr" anchorCtr="0">
          <a:noAutofit/>
        </a:bodyPr>
        <a:lstStyle/>
        <a:p>
          <a:pPr marL="0" lvl="0" indent="0" algn="ctr" defTabSz="800100">
            <a:lnSpc>
              <a:spcPct val="90000"/>
            </a:lnSpc>
            <a:spcBef>
              <a:spcPct val="0"/>
            </a:spcBef>
            <a:spcAft>
              <a:spcPct val="35000"/>
            </a:spcAft>
            <a:buNone/>
          </a:pPr>
          <a:r>
            <a:rPr lang="en-IN" sz="1800" kern="1200"/>
            <a:t>Gather and review the customer feedback data related to ship catgory</a:t>
          </a:r>
        </a:p>
      </dsp:txBody>
      <dsp:txXfrm>
        <a:off x="2508242" y="1533222"/>
        <a:ext cx="2106407" cy="1731976"/>
      </dsp:txXfrm>
    </dsp:sp>
    <dsp:sp modelId="{DAD77BFD-9F63-427E-961E-DE1D61DD4A07}">
      <dsp:nvSpPr>
        <dsp:cNvPr id="0" name=""/>
        <dsp:cNvSpPr/>
      </dsp:nvSpPr>
      <dsp:spPr>
        <a:xfrm>
          <a:off x="4823036" y="1439526"/>
          <a:ext cx="2293799" cy="1919368"/>
        </a:xfrm>
        <a:prstGeom prst="roundRect">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68580" tIns="68580" rIns="68580" bIns="68580" numCol="1" spcCol="1270" anchor="ctr" anchorCtr="0">
          <a:noAutofit/>
        </a:bodyPr>
        <a:lstStyle/>
        <a:p>
          <a:pPr marL="0" lvl="0" indent="0" algn="ctr" defTabSz="800100">
            <a:lnSpc>
              <a:spcPct val="90000"/>
            </a:lnSpc>
            <a:spcBef>
              <a:spcPct val="0"/>
            </a:spcBef>
            <a:spcAft>
              <a:spcPct val="35000"/>
            </a:spcAft>
            <a:buNone/>
          </a:pPr>
          <a:r>
            <a:rPr lang="en-IN" sz="1800" kern="1200"/>
            <a:t>Implement a dynamic pricing model for Vintage Cars in Chatswood</a:t>
          </a:r>
        </a:p>
      </dsp:txBody>
      <dsp:txXfrm>
        <a:off x="4916732" y="1533222"/>
        <a:ext cx="2106407" cy="1731976"/>
      </dsp:txXfrm>
    </dsp:sp>
    <dsp:sp modelId="{DDB6A5DA-4ECB-4326-A582-5C28B3D6F64A}">
      <dsp:nvSpPr>
        <dsp:cNvPr id="0" name=""/>
        <dsp:cNvSpPr/>
      </dsp:nvSpPr>
      <dsp:spPr>
        <a:xfrm>
          <a:off x="7231525" y="1439526"/>
          <a:ext cx="2293799" cy="1919368"/>
        </a:xfrm>
        <a:prstGeom prst="roundRect">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68580" tIns="68580" rIns="68580" bIns="68580" numCol="1" spcCol="1270" anchor="ctr" anchorCtr="0">
          <a:noAutofit/>
        </a:bodyPr>
        <a:lstStyle/>
        <a:p>
          <a:pPr marL="0" lvl="0" indent="0" algn="ctr" defTabSz="800100">
            <a:lnSpc>
              <a:spcPct val="90000"/>
            </a:lnSpc>
            <a:spcBef>
              <a:spcPct val="0"/>
            </a:spcBef>
            <a:spcAft>
              <a:spcPct val="35000"/>
            </a:spcAft>
            <a:buNone/>
          </a:pPr>
          <a:r>
            <a:rPr lang="en-IN" sz="1800" kern="1200"/>
            <a:t>Optimize inventory management based on monthly sales trends</a:t>
          </a:r>
        </a:p>
      </dsp:txBody>
      <dsp:txXfrm>
        <a:off x="7325221" y="1533222"/>
        <a:ext cx="2106407" cy="1731976"/>
      </dsp:txXfrm>
    </dsp:sp>
    <dsp:sp modelId="{31F6F06A-6A3E-4232-8ED9-E2B19317F494}">
      <dsp:nvSpPr>
        <dsp:cNvPr id="0" name=""/>
        <dsp:cNvSpPr/>
      </dsp:nvSpPr>
      <dsp:spPr>
        <a:xfrm>
          <a:off x="9640015" y="1439526"/>
          <a:ext cx="2293799" cy="1919368"/>
        </a:xfrm>
        <a:prstGeom prst="roundRect">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68580" tIns="68580" rIns="68580" bIns="68580" numCol="1" spcCol="1270" anchor="ctr" anchorCtr="0">
          <a:noAutofit/>
        </a:bodyPr>
        <a:lstStyle/>
        <a:p>
          <a:pPr marL="0" lvl="0" indent="0" algn="ctr" defTabSz="800100">
            <a:lnSpc>
              <a:spcPct val="90000"/>
            </a:lnSpc>
            <a:spcBef>
              <a:spcPct val="0"/>
            </a:spcBef>
            <a:spcAft>
              <a:spcPct val="35000"/>
            </a:spcAft>
            <a:buNone/>
          </a:pPr>
          <a:r>
            <a:rPr lang="en-IN" sz="1800" kern="1200"/>
            <a:t>Perform an economic analysis of the current product line-up and adjust purchasing practices accordingly.</a:t>
          </a:r>
        </a:p>
      </dsp:txBody>
      <dsp:txXfrm>
        <a:off x="9733711" y="1533222"/>
        <a:ext cx="2106407" cy="1731976"/>
      </dsp:txXfrm>
    </dsp:sp>
    <dsp:sp modelId="{B08D4E8A-81B6-46B2-B9B2-48085234AFA2}">
      <dsp:nvSpPr>
        <dsp:cNvPr id="0" name=""/>
        <dsp:cNvSpPr/>
      </dsp:nvSpPr>
      <dsp:spPr>
        <a:xfrm>
          <a:off x="12048504" y="1439526"/>
          <a:ext cx="2293799" cy="1919368"/>
        </a:xfrm>
        <a:prstGeom prst="roundRect">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68580" tIns="68580" rIns="68580" bIns="68580" numCol="1" spcCol="1270" anchor="ctr" anchorCtr="0">
          <a:noAutofit/>
        </a:bodyPr>
        <a:lstStyle/>
        <a:p>
          <a:pPr marL="0" lvl="0" indent="0" algn="ctr" defTabSz="800100">
            <a:lnSpc>
              <a:spcPct val="90000"/>
            </a:lnSpc>
            <a:spcBef>
              <a:spcPct val="0"/>
            </a:spcBef>
            <a:spcAft>
              <a:spcPct val="35000"/>
            </a:spcAft>
            <a:buNone/>
          </a:pPr>
          <a:r>
            <a:rPr lang="en-IN" sz="1800" kern="1200"/>
            <a:t>Analyze and document the major events and promotional strategies employed during the 2004.</a:t>
          </a:r>
        </a:p>
      </dsp:txBody>
      <dsp:txXfrm>
        <a:off x="12142200" y="1533222"/>
        <a:ext cx="2106407" cy="1731976"/>
      </dsp:txXfrm>
    </dsp:sp>
    <dsp:sp modelId="{2B9CA550-1316-449D-935A-6B84F3F361D2}">
      <dsp:nvSpPr>
        <dsp:cNvPr id="0" name=""/>
        <dsp:cNvSpPr/>
      </dsp:nvSpPr>
      <dsp:spPr>
        <a:xfrm>
          <a:off x="14456994" y="1439526"/>
          <a:ext cx="2293799" cy="1919368"/>
        </a:xfrm>
        <a:prstGeom prst="roundRect">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68580" tIns="68580" rIns="68580" bIns="68580" numCol="1" spcCol="1270" anchor="ctr" anchorCtr="0">
          <a:noAutofit/>
        </a:bodyPr>
        <a:lstStyle/>
        <a:p>
          <a:pPr marL="0" lvl="0" indent="0" algn="ctr" defTabSz="800100">
            <a:lnSpc>
              <a:spcPct val="90000"/>
            </a:lnSpc>
            <a:spcBef>
              <a:spcPct val="0"/>
            </a:spcBef>
            <a:spcAft>
              <a:spcPct val="35000"/>
            </a:spcAft>
            <a:buNone/>
          </a:pPr>
          <a:r>
            <a:rPr lang="en-IN" sz="1800" kern="1200"/>
            <a:t>Evaluate distribution strategy and optimize after sale service for Melbourne customers.</a:t>
          </a:r>
        </a:p>
      </dsp:txBody>
      <dsp:txXfrm>
        <a:off x="14550690" y="1533222"/>
        <a:ext cx="2106407" cy="1731976"/>
      </dsp:txXfrm>
    </dsp:sp>
    <dsp:sp modelId="{D9FACC0A-B8FE-49BD-8AF1-EEA576915977}">
      <dsp:nvSpPr>
        <dsp:cNvPr id="0" name=""/>
        <dsp:cNvSpPr/>
      </dsp:nvSpPr>
      <dsp:spPr>
        <a:xfrm>
          <a:off x="16865483" y="1439526"/>
          <a:ext cx="2293799" cy="1919368"/>
        </a:xfrm>
        <a:prstGeom prst="roundRect">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68580" tIns="68580" rIns="68580" bIns="68580" numCol="1" spcCol="1270" anchor="ctr" anchorCtr="0">
          <a:noAutofit/>
        </a:bodyPr>
        <a:lstStyle/>
        <a:p>
          <a:pPr marL="0" lvl="0" indent="0" algn="ctr" defTabSz="800100">
            <a:lnSpc>
              <a:spcPct val="90000"/>
            </a:lnSpc>
            <a:spcBef>
              <a:spcPct val="0"/>
            </a:spcBef>
            <a:spcAft>
              <a:spcPct val="35000"/>
            </a:spcAft>
            <a:buNone/>
          </a:pPr>
          <a:r>
            <a:rPr lang="en-IN" sz="1800" kern="1200"/>
            <a:t>Increase production and marketing for the classic VIntage Cars categories.</a:t>
          </a:r>
        </a:p>
      </dsp:txBody>
      <dsp:txXfrm>
        <a:off x="16959179" y="1533222"/>
        <a:ext cx="2106407" cy="1731976"/>
      </dsp:txXfrm>
    </dsp:sp>
    <dsp:sp modelId="{EB9F7528-CFC6-4A86-84D3-6D3D1EE06D5F}">
      <dsp:nvSpPr>
        <dsp:cNvPr id="0" name=""/>
        <dsp:cNvSpPr/>
      </dsp:nvSpPr>
      <dsp:spPr>
        <a:xfrm>
          <a:off x="19273973" y="1439526"/>
          <a:ext cx="2293799" cy="1919368"/>
        </a:xfrm>
        <a:prstGeom prst="roundRect">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68580" tIns="68580" rIns="68580" bIns="68580" numCol="1" spcCol="1270" anchor="ctr" anchorCtr="0">
          <a:noAutofit/>
        </a:bodyPr>
        <a:lstStyle/>
        <a:p>
          <a:pPr marL="0" lvl="0" indent="0" algn="ctr" defTabSz="800100">
            <a:lnSpc>
              <a:spcPct val="90000"/>
            </a:lnSpc>
            <a:spcBef>
              <a:spcPct val="0"/>
            </a:spcBef>
            <a:spcAft>
              <a:spcPct val="35000"/>
            </a:spcAft>
            <a:buNone/>
          </a:pPr>
          <a:r>
            <a:rPr lang="en-IN" sz="1800" kern="1200"/>
            <a:t>Develop a targeted loyalty program and execute exclusive advertising campaigns for our top-tier customers.</a:t>
          </a:r>
        </a:p>
      </dsp:txBody>
      <dsp:txXfrm>
        <a:off x="19367669" y="1533222"/>
        <a:ext cx="2106407" cy="1731976"/>
      </dsp:txXfrm>
    </dsp:sp>
  </dsp:spTree>
</dsp:drawing>
</file>

<file path=xl/diagrams/layout1.xml><?xml version="1.0" encoding="utf-8"?>
<dgm:layoutDef xmlns:dgm="http://schemas.openxmlformats.org/drawingml/2006/diagram" xmlns:a="http://schemas.openxmlformats.org/drawingml/2006/main" uniqueId="urn:microsoft.com/office/officeart/2005/8/layout/hProcess9">
  <dgm:title val=""/>
  <dgm:desc val=""/>
  <dgm:catLst>
    <dgm:cat type="process" pri="5000"/>
    <dgm:cat type="convert" pri="13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CompostProcess">
    <dgm:varLst>
      <dgm:dir/>
      <dgm:resizeHandles val="exact"/>
    </dgm:varLst>
    <dgm:alg type="composite">
      <dgm:param type="horzAlign" val="ctr"/>
      <dgm:param type="vertAlign" val="mid"/>
    </dgm:alg>
    <dgm:shape xmlns:r="http://schemas.openxmlformats.org/officeDocument/2006/relationships" r:blip="">
      <dgm:adjLst/>
    </dgm:shape>
    <dgm:presOf/>
    <dgm:constrLst>
      <dgm:constr type="w" for="ch" forName="arrow" refType="w" fact="0.85"/>
      <dgm:constr type="h" for="ch" forName="arrow" refType="h"/>
      <dgm:constr type="ctrX" for="ch" forName="arrow" refType="w" fact="0.5"/>
      <dgm:constr type="ctrY" for="ch" forName="arrow" refType="h" fact="0.5"/>
      <dgm:constr type="w" for="ch" forName="linearProcess" refType="w"/>
      <dgm:constr type="h" for="ch" forName="linearProcess" refType="h" fact="0.4"/>
      <dgm:constr type="ctrX" for="ch" forName="linearProcess" refType="w" fact="0.5"/>
      <dgm:constr type="ctrY" for="ch" forName="linearProcess" refType="h" fact="0.5"/>
    </dgm:constrLst>
    <dgm:ruleLst/>
    <dgm:layoutNode name="arrow" styleLbl="bgShp">
      <dgm:alg type="sp"/>
      <dgm:choose name="Name0">
        <dgm:if name="Name1" func="var" arg="dir" op="equ" val="norm">
          <dgm:shape xmlns:r="http://schemas.openxmlformats.org/officeDocument/2006/relationships" type="rightArrow" r:blip="">
            <dgm:adjLst/>
          </dgm:shape>
        </dgm:if>
        <dgm:else name="Name2">
          <dgm:shape xmlns:r="http://schemas.openxmlformats.org/officeDocument/2006/relationships" type="leftArrow" r:blip="">
            <dgm:adjLst/>
          </dgm:shape>
        </dgm:else>
      </dgm:choose>
      <dgm:presOf/>
      <dgm:constrLst/>
      <dgm:ruleLst/>
    </dgm:layoutNode>
    <dgm:layoutNode name="linearProcess">
      <dgm:choose name="Name3">
        <dgm:if name="Name4" func="var" arg="dir" op="equ" val="norm">
          <dgm:alg type="lin"/>
        </dgm:if>
        <dgm:else name="Name5">
          <dgm:alg type="lin">
            <dgm:param type="linDir" val="fromR"/>
          </dgm:alg>
        </dgm:else>
      </dgm:choose>
      <dgm:shape xmlns:r="http://schemas.openxmlformats.org/officeDocument/2006/relationships" r:blip="">
        <dgm:adjLst/>
      </dgm:shape>
      <dgm:presOf/>
      <dgm:constrLst>
        <dgm:constr type="userA" for="ch" ptType="node" refType="w"/>
        <dgm:constr type="h" for="ch" ptType="node" refType="h"/>
        <dgm:constr type="w" for="ch" ptType="node" op="equ"/>
        <dgm:constr type="w" for="ch" forName="sibTrans" refType="w" fact="0.05"/>
        <dgm:constr type="primFontSz" for="ch" ptType="node" op="equ" val="65"/>
      </dgm:constrLst>
      <dgm:ruleLst/>
      <dgm:forEach name="Name6" axis="ch" ptType="node">
        <dgm:layoutNode name="textNode" styleLbl="node1">
          <dgm:varLst>
            <dgm:bulletEnabled val="1"/>
          </dgm:varLst>
          <dgm:alg type="tx"/>
          <dgm:shape xmlns:r="http://schemas.openxmlformats.org/officeDocument/2006/relationships" type="roundRect" r:blip="">
            <dgm:adjLst/>
          </dgm:shape>
          <dgm:presOf axis="desOrSelf" ptType="node"/>
          <dgm:constrLst>
            <dgm:constr type="userA"/>
            <dgm:constr type="w" refType="userA" fact="0.3"/>
            <dgm:constr type="tMarg" refType="primFontSz" fact="0.3"/>
            <dgm:constr type="bMarg" refType="primFontSz" fact="0.3"/>
            <dgm:constr type="lMarg" refType="primFontSz" fact="0.3"/>
            <dgm:constr type="rMarg" refType="primFontSz" fact="0.3"/>
          </dgm:constrLst>
          <dgm:ruleLst>
            <dgm:rule type="w" val="NaN" fact="1" max="NaN"/>
            <dgm:rule type="primFontSz" val="5" fact="NaN" max="NaN"/>
          </dgm:ruleLst>
        </dgm:layoutNode>
        <dgm:forEach name="Name7" axis="followSib" ptType="sibTrans" cnt="1">
          <dgm:layoutNode name="sibTrans">
            <dgm:alg type="sp"/>
            <dgm:shape xmlns:r="http://schemas.openxmlformats.org/officeDocument/2006/relationships" r:blip="">
              <dgm:adjLst/>
            </dgm:shape>
            <dgm:presOf/>
            <dgm:constrLst/>
            <dgm:ruleLst/>
          </dgm:layoutNode>
        </dgm:forEach>
      </dgm:forEach>
    </dgm:layoutNode>
  </dgm:layoutNode>
</dgm:layoutDef>
</file>

<file path=xl/diagrams/quickStyle1.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601980</xdr:colOff>
          <xdr:row>1</xdr:row>
          <xdr:rowOff>0</xdr:rowOff>
        </xdr:from>
        <xdr:to>
          <xdr:col>9</xdr:col>
          <xdr:colOff>1440180</xdr:colOff>
          <xdr:row>4</xdr:row>
          <xdr:rowOff>22860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CLICK HERE </a:t>
              </a:r>
            </a:p>
            <a:p>
              <a:pPr algn="ctr" rtl="0">
                <a:defRPr sz="1000"/>
              </a:pPr>
              <a:r>
                <a:rPr lang="en-IN" sz="1100" b="1" i="0" u="none" strike="noStrike" baseline="0">
                  <a:solidFill>
                    <a:srgbClr val="000000"/>
                  </a:solidFill>
                  <a:latin typeface="Calibri"/>
                  <a:ea typeface="Calibri"/>
                  <a:cs typeface="Calibri"/>
                </a:rPr>
                <a:t>TO SORT</a:t>
              </a:r>
            </a:p>
          </xdr:txBody>
        </xdr:sp>
        <xdr:clientData fPrintsWithSheet="0"/>
      </xdr:twoCellAnchor>
    </mc:Choice>
    <mc:Fallback/>
  </mc:AlternateContent>
  <xdr:twoCellAnchor>
    <xdr:from>
      <xdr:col>8</xdr:col>
      <xdr:colOff>579120</xdr:colOff>
      <xdr:row>4</xdr:row>
      <xdr:rowOff>175260</xdr:rowOff>
    </xdr:from>
    <xdr:to>
      <xdr:col>12</xdr:col>
      <xdr:colOff>15240</xdr:colOff>
      <xdr:row>7</xdr:row>
      <xdr:rowOff>99060</xdr:rowOff>
    </xdr:to>
    <xdr:sp macro="" textlink="">
      <xdr:nvSpPr>
        <xdr:cNvPr id="2" name="TextBox 1">
          <a:extLst>
            <a:ext uri="{FF2B5EF4-FFF2-40B4-BE49-F238E27FC236}">
              <a16:creationId xmlns:a16="http://schemas.microsoft.com/office/drawing/2014/main" id="{7B60E213-27C7-C01B-10B3-FEE522A2E738}"/>
            </a:ext>
          </a:extLst>
        </xdr:cNvPr>
        <xdr:cNvSpPr txBox="1"/>
      </xdr:nvSpPr>
      <xdr:spPr>
        <a:xfrm>
          <a:off x="10218420" y="960120"/>
          <a:ext cx="4518660" cy="472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t>NOTE THAT  SOME COLUMNS HAVE BEEN REMOVED FROM THIS FOR MORE CLARITY.</a:t>
          </a:r>
          <a:endParaRPr lang="en-IN"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xdr:colOff>
      <xdr:row>23</xdr:row>
      <xdr:rowOff>32657</xdr:rowOff>
    </xdr:from>
    <xdr:to>
      <xdr:col>3</xdr:col>
      <xdr:colOff>3065</xdr:colOff>
      <xdr:row>37</xdr:row>
      <xdr:rowOff>99392</xdr:rowOff>
    </xdr:to>
    <xdr:sp macro="" textlink="">
      <xdr:nvSpPr>
        <xdr:cNvPr id="10" name="TextBox 9">
          <a:extLst>
            <a:ext uri="{FF2B5EF4-FFF2-40B4-BE49-F238E27FC236}">
              <a16:creationId xmlns:a16="http://schemas.microsoft.com/office/drawing/2014/main" id="{6140D384-539A-AC02-3EA3-735099060F49}"/>
            </a:ext>
          </a:extLst>
        </xdr:cNvPr>
        <xdr:cNvSpPr txBox="1"/>
      </xdr:nvSpPr>
      <xdr:spPr>
        <a:xfrm rot="10800000" flipV="1">
          <a:off x="9525" y="4593614"/>
          <a:ext cx="7392670" cy="2695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Classic Cars </a:t>
          </a:r>
          <a:r>
            <a:rPr lang="en-IN" sz="1800"/>
            <a:t>emerged as the top-performing category, generating </a:t>
          </a:r>
          <a:r>
            <a:rPr lang="en-IN" sz="1800" b="1"/>
            <a:t>₹1.67 lakh </a:t>
          </a:r>
          <a:r>
            <a:rPr lang="en-IN" sz="1800"/>
            <a:t>in sales from 1,504 units. </a:t>
          </a:r>
          <a:r>
            <a:rPr lang="en-IN" sz="1800" b="1"/>
            <a:t>Vintage Cars </a:t>
          </a:r>
          <a:r>
            <a:rPr lang="en-IN" sz="1800"/>
            <a:t>followed closely with </a:t>
          </a:r>
          <a:r>
            <a:rPr lang="en-IN" sz="1800" b="1"/>
            <a:t>₹1.31 lakh </a:t>
          </a:r>
          <a:r>
            <a:rPr lang="en-IN" sz="1800"/>
            <a:t>in revenue and 1,426 units sold, indicating strong consumer interest in nostalgic models. </a:t>
          </a:r>
          <a:r>
            <a:rPr lang="en-IN" sz="1800" b="1"/>
            <a:t>Motorcycles and Trucks &amp; Buses </a:t>
          </a:r>
          <a:r>
            <a:rPr lang="en-IN" sz="1800"/>
            <a:t>showed moderate traction, each contributing over </a:t>
          </a:r>
          <a:r>
            <a:rPr lang="en-IN" sz="1800" b="1"/>
            <a:t>₹65,000 </a:t>
          </a:r>
          <a:r>
            <a:rPr lang="en-IN" sz="1800"/>
            <a:t>in sales with more than 600 units ordered. </a:t>
          </a:r>
          <a:r>
            <a:rPr lang="en-IN" sz="1800" b="1"/>
            <a:t>Planes</a:t>
          </a:r>
          <a:r>
            <a:rPr lang="en-IN" sz="1800"/>
            <a:t>, despite selling fewer units, brought in </a:t>
          </a:r>
          <a:r>
            <a:rPr lang="en-IN" sz="1800" b="1"/>
            <a:t>₹63,983</a:t>
          </a:r>
          <a:r>
            <a:rPr lang="en-IN" sz="1800"/>
            <a:t>, suggesting a higher price per item</a:t>
          </a:r>
          <a:r>
            <a:rPr lang="en-IN" sz="1800" b="1"/>
            <a:t>. Ships</a:t>
          </a:r>
          <a:r>
            <a:rPr lang="en-IN" sz="1800"/>
            <a:t> lagged significantly, recording just </a:t>
          </a:r>
          <a:r>
            <a:rPr lang="en-IN" sz="1800" b="1"/>
            <a:t>₹1,707 </a:t>
          </a:r>
          <a:r>
            <a:rPr lang="en-IN" sz="1800"/>
            <a:t>from 34 units. Altogether, the business achieved ₹</a:t>
          </a:r>
          <a:r>
            <a:rPr lang="en-IN" sz="1800" b="1"/>
            <a:t>5.05 lakh in total sales </a:t>
          </a:r>
          <a:r>
            <a:rPr lang="en-IN" sz="1800"/>
            <a:t>across 4,976 units, with classic and vintage models clearly dominating the market.</a:t>
          </a:r>
        </a:p>
      </xdr:txBody>
    </xdr:sp>
    <xdr:clientData/>
  </xdr:twoCellAnchor>
  <xdr:twoCellAnchor>
    <xdr:from>
      <xdr:col>0</xdr:col>
      <xdr:colOff>9526</xdr:colOff>
      <xdr:row>3</xdr:row>
      <xdr:rowOff>19050</xdr:rowOff>
    </xdr:from>
    <xdr:to>
      <xdr:col>2</xdr:col>
      <xdr:colOff>5720521</xdr:colOff>
      <xdr:row>12</xdr:row>
      <xdr:rowOff>110436</xdr:rowOff>
    </xdr:to>
    <xdr:sp macro="" textlink="">
      <xdr:nvSpPr>
        <xdr:cNvPr id="12" name="TextBox 11">
          <a:extLst>
            <a:ext uri="{FF2B5EF4-FFF2-40B4-BE49-F238E27FC236}">
              <a16:creationId xmlns:a16="http://schemas.microsoft.com/office/drawing/2014/main" id="{B4927A75-BF26-F6AD-F53C-1B84551A64AE}"/>
            </a:ext>
          </a:extLst>
        </xdr:cNvPr>
        <xdr:cNvSpPr txBox="1"/>
      </xdr:nvSpPr>
      <xdr:spPr>
        <a:xfrm>
          <a:off x="9526" y="825224"/>
          <a:ext cx="7742995" cy="17810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t>This PivotTable and chart provide a comparative overview of product category performance based on total sales and quantity ordered. It highlights which categories are driving the most business impact and which ones are underperforming. The visualization helps identify trends in customer demand, guiding decisions around inventory, marketing focus, and product strategy. By analyzing both revenue and volume, it offers a balanced view of profitability and popularity across segments .</a:t>
          </a:r>
        </a:p>
        <a:p>
          <a:endParaRPr lang="en-IN" sz="1200"/>
        </a:p>
      </xdr:txBody>
    </xdr:sp>
    <xdr:clientData/>
  </xdr:twoCellAnchor>
  <xdr:twoCellAnchor>
    <xdr:from>
      <xdr:col>4</xdr:col>
      <xdr:colOff>0</xdr:colOff>
      <xdr:row>0</xdr:row>
      <xdr:rowOff>180118</xdr:rowOff>
    </xdr:from>
    <xdr:to>
      <xdr:col>15</xdr:col>
      <xdr:colOff>220868</xdr:colOff>
      <xdr:row>30</xdr:row>
      <xdr:rowOff>11044</xdr:rowOff>
    </xdr:to>
    <xdr:graphicFrame macro="">
      <xdr:nvGraphicFramePr>
        <xdr:cNvPr id="2" name="Chart 1">
          <a:extLst>
            <a:ext uri="{FF2B5EF4-FFF2-40B4-BE49-F238E27FC236}">
              <a16:creationId xmlns:a16="http://schemas.microsoft.com/office/drawing/2014/main" id="{F11A97A6-2774-7714-0C7E-EFEC304C55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212037</xdr:colOff>
      <xdr:row>5</xdr:row>
      <xdr:rowOff>156045</xdr:rowOff>
    </xdr:from>
    <xdr:to>
      <xdr:col>17</xdr:col>
      <xdr:colOff>494750</xdr:colOff>
      <xdr:row>11</xdr:row>
      <xdr:rowOff>143566</xdr:rowOff>
    </xdr:to>
    <mc:AlternateContent xmlns:mc="http://schemas.openxmlformats.org/markup-compatibility/2006" xmlns:a14="http://schemas.microsoft.com/office/drawing/2010/main">
      <mc:Choice Requires="a14">
        <xdr:graphicFrame macro="">
          <xdr:nvGraphicFramePr>
            <xdr:cNvPr id="3" name="CITY">
              <a:extLst>
                <a:ext uri="{FF2B5EF4-FFF2-40B4-BE49-F238E27FC236}">
                  <a16:creationId xmlns:a16="http://schemas.microsoft.com/office/drawing/2014/main" id="{9C31E116-4ABA-62FA-3ECD-11D898381D22}"/>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7031254" y="1337697"/>
              <a:ext cx="1828800" cy="11139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217225</xdr:colOff>
      <xdr:row>1</xdr:row>
      <xdr:rowOff>6627</xdr:rowOff>
    </xdr:from>
    <xdr:to>
      <xdr:col>17</xdr:col>
      <xdr:colOff>499938</xdr:colOff>
      <xdr:row>5</xdr:row>
      <xdr:rowOff>176696</xdr:rowOff>
    </xdr:to>
    <mc:AlternateContent xmlns:mc="http://schemas.openxmlformats.org/markup-compatibility/2006" xmlns:a14="http://schemas.microsoft.com/office/drawing/2010/main">
      <mc:Choice Requires="a14">
        <xdr:graphicFrame macro="">
          <xdr:nvGraphicFramePr>
            <xdr:cNvPr id="4" name="DEALSIZE">
              <a:extLst>
                <a:ext uri="{FF2B5EF4-FFF2-40B4-BE49-F238E27FC236}">
                  <a16:creationId xmlns:a16="http://schemas.microsoft.com/office/drawing/2014/main" id="{03935D95-F40F-88A5-AB78-4BBB3BA57413}"/>
                </a:ext>
              </a:extLst>
            </xdr:cNvPr>
            <xdr:cNvGraphicFramePr/>
          </xdr:nvGraphicFramePr>
          <xdr:xfrm>
            <a:off x="0" y="0"/>
            <a:ext cx="0" cy="0"/>
          </xdr:xfrm>
          <a:graphic>
            <a:graphicData uri="http://schemas.microsoft.com/office/drawing/2010/slicer">
              <sle:slicer xmlns:sle="http://schemas.microsoft.com/office/drawing/2010/slicer" name="DEALSIZE"/>
            </a:graphicData>
          </a:graphic>
        </xdr:graphicFrame>
      </mc:Choice>
      <mc:Fallback xmlns="">
        <xdr:sp macro="" textlink="">
          <xdr:nvSpPr>
            <xdr:cNvPr id="0" name=""/>
            <xdr:cNvSpPr>
              <a:spLocks noTextEdit="1"/>
            </xdr:cNvSpPr>
          </xdr:nvSpPr>
          <xdr:spPr>
            <a:xfrm>
              <a:off x="17036442" y="194366"/>
              <a:ext cx="1828800" cy="11308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xdr:colOff>
      <xdr:row>3</xdr:row>
      <xdr:rowOff>22860</xdr:rowOff>
    </xdr:from>
    <xdr:to>
      <xdr:col>5</xdr:col>
      <xdr:colOff>0</xdr:colOff>
      <xdr:row>9</xdr:row>
      <xdr:rowOff>0</xdr:rowOff>
    </xdr:to>
    <xdr:sp macro="" textlink="">
      <xdr:nvSpPr>
        <xdr:cNvPr id="2" name="TextBox 1">
          <a:extLst>
            <a:ext uri="{FF2B5EF4-FFF2-40B4-BE49-F238E27FC236}">
              <a16:creationId xmlns:a16="http://schemas.microsoft.com/office/drawing/2014/main" id="{22E8CE85-371F-87AB-DA17-30B8EBA65416}"/>
            </a:ext>
          </a:extLst>
        </xdr:cNvPr>
        <xdr:cNvSpPr txBox="1"/>
      </xdr:nvSpPr>
      <xdr:spPr>
        <a:xfrm>
          <a:off x="7620" y="670560"/>
          <a:ext cx="4861560" cy="1074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This pivot table summarizes total sales across six vehicle categories—Classic Cars, Motorcycles, Planes, Ships, Trucks and Buses, and Vintage Cars—broken down by three locations: Chatswood, Melbourne, and North Sydney, along with a grand total column. Each row shows how much each vehicle type contributed to sales in each location. Some categories have missing data in certain locations, indicating no recorded sales there. </a:t>
          </a:r>
        </a:p>
      </xdr:txBody>
    </xdr:sp>
    <xdr:clientData/>
  </xdr:twoCellAnchor>
  <xdr:twoCellAnchor>
    <xdr:from>
      <xdr:col>0</xdr:col>
      <xdr:colOff>0</xdr:colOff>
      <xdr:row>20</xdr:row>
      <xdr:rowOff>0</xdr:rowOff>
    </xdr:from>
    <xdr:to>
      <xdr:col>5</xdr:col>
      <xdr:colOff>0</xdr:colOff>
      <xdr:row>32</xdr:row>
      <xdr:rowOff>146891</xdr:rowOff>
    </xdr:to>
    <xdr:sp macro="" textlink="">
      <xdr:nvSpPr>
        <xdr:cNvPr id="3" name="TextBox 2">
          <a:extLst>
            <a:ext uri="{FF2B5EF4-FFF2-40B4-BE49-F238E27FC236}">
              <a16:creationId xmlns:a16="http://schemas.microsoft.com/office/drawing/2014/main" id="{4D498F81-4B3F-8129-C318-069705F48E41}"/>
            </a:ext>
          </a:extLst>
        </xdr:cNvPr>
        <xdr:cNvSpPr txBox="1"/>
      </xdr:nvSpPr>
      <xdr:spPr>
        <a:xfrm>
          <a:off x="0" y="3773277"/>
          <a:ext cx="6288795" cy="23502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a:t>The sales distribution across cities reveals</a:t>
          </a:r>
          <a:r>
            <a:rPr lang="en-IN" sz="1200" b="1"/>
            <a:t> Melbourne </a:t>
          </a:r>
          <a:r>
            <a:rPr lang="en-IN" sz="1200" b="0"/>
            <a:t>as the top contributor, generating </a:t>
          </a:r>
          <a:r>
            <a:rPr lang="en-IN" sz="1200" b="1"/>
            <a:t>₹197226.69</a:t>
          </a:r>
          <a:r>
            <a:rPr lang="en-IN" sz="1200" b="1" baseline="0"/>
            <a:t> </a:t>
          </a:r>
          <a:r>
            <a:rPr lang="en-IN" sz="1200" b="0"/>
            <a:t>in total vehicle sales—</a:t>
          </a:r>
          <a:r>
            <a:rPr lang="en-IN" sz="1200" b="1"/>
            <a:t>nearly 40% of the overall revenue. </a:t>
          </a:r>
          <a:r>
            <a:rPr lang="en-IN" sz="1200" b="0"/>
            <a:t>This strong performance is driven by consistently high figures across multiple categories, especially Vintage and Classic Cars. </a:t>
          </a:r>
          <a:r>
            <a:rPr lang="en-IN" sz="1200" b="1"/>
            <a:t>North Sydney </a:t>
          </a:r>
          <a:r>
            <a:rPr lang="en-IN" sz="1200" b="0"/>
            <a:t>follows with </a:t>
          </a:r>
          <a:r>
            <a:rPr lang="en-IN" sz="1200" b="1"/>
            <a:t>₹1,41,343.50</a:t>
          </a:r>
          <a:r>
            <a:rPr lang="en-IN" sz="1200" b="1" baseline="0"/>
            <a:t> </a:t>
          </a:r>
          <a:r>
            <a:rPr lang="en-IN" sz="1200" b="0"/>
            <a:t>, showing a balanced mix of sales but with a standout contribution from Classic Cars, which alone account for nearly half of the city’s total. </a:t>
          </a:r>
          <a:r>
            <a:rPr lang="en-IN" sz="1200" b="1"/>
            <a:t>Chatswood</a:t>
          </a:r>
          <a:r>
            <a:rPr lang="en-IN" sz="1200" b="0"/>
            <a:t>, while trailing slightly at </a:t>
          </a:r>
          <a:r>
            <a:rPr lang="en-IN" sz="1200" b="1"/>
            <a:t>₹1,66541.33</a:t>
          </a:r>
          <a:r>
            <a:rPr lang="en-IN" sz="1200" b="1" baseline="0"/>
            <a:t> </a:t>
          </a:r>
          <a:r>
            <a:rPr lang="en-IN" sz="1200" b="0"/>
            <a:t>, demonstrates niche strengths, particularly in categories like Motorcycles and Ships, which are absent in the other two cities. The data suggests Melbourne is the most diversified and high-performing market, while North Sydney and Chatswood offer targeted opportunities for growth through category expansion. Overall, city-wise analysis highlights Melbourne as the strategic anchor, with North Sydney and Chatswood offering complementary strengths and untapped potential</a:t>
          </a:r>
        </a:p>
      </xdr:txBody>
    </xdr:sp>
    <xdr:clientData/>
  </xdr:twoCellAnchor>
  <xdr:twoCellAnchor editAs="oneCell">
    <xdr:from>
      <xdr:col>6</xdr:col>
      <xdr:colOff>108007</xdr:colOff>
      <xdr:row>21</xdr:row>
      <xdr:rowOff>92105</xdr:rowOff>
    </xdr:from>
    <xdr:to>
      <xdr:col>13</xdr:col>
      <xdr:colOff>263019</xdr:colOff>
      <xdr:row>39</xdr:row>
      <xdr:rowOff>62968</xdr:rowOff>
    </xdr:to>
    <xdr:pic>
      <xdr:nvPicPr>
        <xdr:cNvPr id="5" name="Picture 4">
          <a:extLst>
            <a:ext uri="{FF2B5EF4-FFF2-40B4-BE49-F238E27FC236}">
              <a16:creationId xmlns:a16="http://schemas.microsoft.com/office/drawing/2014/main" id="{56080A4F-8CC2-E063-6516-8578757F104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02730" y="4131623"/>
          <a:ext cx="4838459" cy="3275923"/>
        </a:xfrm>
        <a:prstGeom prst="rect">
          <a:avLst/>
        </a:prstGeom>
        <a:ln w="88900" cap="sq" cmpd="thickThin">
          <a:solidFill>
            <a:srgbClr val="000000"/>
          </a:solidFill>
          <a:prstDash val="solid"/>
          <a:miter lim="800000"/>
        </a:ln>
        <a:effectLst>
          <a:innerShdw blurRad="76200">
            <a:srgbClr val="000000"/>
          </a:innerShdw>
        </a:effectLst>
      </xdr:spPr>
    </xdr:pic>
    <xdr:clientData/>
  </xdr:twoCellAnchor>
  <xdr:twoCellAnchor>
    <xdr:from>
      <xdr:col>5</xdr:col>
      <xdr:colOff>925973</xdr:colOff>
      <xdr:row>0</xdr:row>
      <xdr:rowOff>173619</xdr:rowOff>
    </xdr:from>
    <xdr:to>
      <xdr:col>14</xdr:col>
      <xdr:colOff>270075</xdr:colOff>
      <xdr:row>20</xdr:row>
      <xdr:rowOff>19290</xdr:rowOff>
    </xdr:to>
    <xdr:graphicFrame macro="">
      <xdr:nvGraphicFramePr>
        <xdr:cNvPr id="10" name="Chart 9">
          <a:extLst>
            <a:ext uri="{FF2B5EF4-FFF2-40B4-BE49-F238E27FC236}">
              <a16:creationId xmlns:a16="http://schemas.microsoft.com/office/drawing/2014/main" id="{CB9C3AA3-E194-D1D5-33D4-3C950C2D66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14</xdr:col>
      <xdr:colOff>272776</xdr:colOff>
      <xdr:row>0</xdr:row>
      <xdr:rowOff>182592</xdr:rowOff>
    </xdr:from>
    <xdr:to>
      <xdr:col>17</xdr:col>
      <xdr:colOff>278564</xdr:colOff>
      <xdr:row>6</xdr:row>
      <xdr:rowOff>1</xdr:rowOff>
    </xdr:to>
    <mc:AlternateContent xmlns:mc="http://schemas.openxmlformats.org/markup-compatibility/2006" xmlns:a14="http://schemas.microsoft.com/office/drawing/2010/main">
      <mc:Choice Requires="a14">
        <xdr:graphicFrame macro="">
          <xdr:nvGraphicFramePr>
            <xdr:cNvPr id="12" name="DEALSIZE 1">
              <a:extLst>
                <a:ext uri="{FF2B5EF4-FFF2-40B4-BE49-F238E27FC236}">
                  <a16:creationId xmlns:a16="http://schemas.microsoft.com/office/drawing/2014/main" id="{B34D9CF9-AB99-4B79-9C44-21C3CACA979D}"/>
                </a:ext>
              </a:extLst>
            </xdr:cNvPr>
            <xdr:cNvGraphicFramePr/>
          </xdr:nvGraphicFramePr>
          <xdr:xfrm>
            <a:off x="0" y="0"/>
            <a:ext cx="0" cy="0"/>
          </xdr:xfrm>
          <a:graphic>
            <a:graphicData uri="http://schemas.microsoft.com/office/drawing/2010/slicer">
              <sle:slicer xmlns:sle="http://schemas.microsoft.com/office/drawing/2010/slicer" name="DEALSIZE 1"/>
            </a:graphicData>
          </a:graphic>
        </xdr:graphicFrame>
      </mc:Choice>
      <mc:Fallback xmlns="">
        <xdr:sp macro="" textlink="">
          <xdr:nvSpPr>
            <xdr:cNvPr id="0" name=""/>
            <xdr:cNvSpPr>
              <a:spLocks noTextEdit="1"/>
            </xdr:cNvSpPr>
          </xdr:nvSpPr>
          <xdr:spPr>
            <a:xfrm>
              <a:off x="12580523" y="182592"/>
              <a:ext cx="1828800" cy="110027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3</xdr:row>
      <xdr:rowOff>7620</xdr:rowOff>
    </xdr:from>
    <xdr:to>
      <xdr:col>4</xdr:col>
      <xdr:colOff>822960</xdr:colOff>
      <xdr:row>11</xdr:row>
      <xdr:rowOff>7620</xdr:rowOff>
    </xdr:to>
    <xdr:sp macro="" textlink="">
      <xdr:nvSpPr>
        <xdr:cNvPr id="2" name="TextBox 1">
          <a:extLst>
            <a:ext uri="{FF2B5EF4-FFF2-40B4-BE49-F238E27FC236}">
              <a16:creationId xmlns:a16="http://schemas.microsoft.com/office/drawing/2014/main" id="{7CD0C29F-F83C-9FBD-AC5F-9D90F2C85B39}"/>
            </a:ext>
          </a:extLst>
        </xdr:cNvPr>
        <xdr:cNvSpPr txBox="1"/>
      </xdr:nvSpPr>
      <xdr:spPr>
        <a:xfrm>
          <a:off x="0" y="685800"/>
          <a:ext cx="4831080" cy="14630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The data presents a pivot table summarizing total sales figures for three individuals—Adrian, Anna, and Peter—across six product categories: Classic Cars, Motorcycles, Planes, Ships, Trucks and Buses, and Vintage Cars. Each row shows the sales amount contributed by each person within a category, along with a category-wise grand total.Notably, some categories have missing entries for certain individuals, and the Planes category has no recorded sales.</a:t>
          </a:r>
        </a:p>
      </xdr:txBody>
    </xdr:sp>
    <xdr:clientData/>
  </xdr:twoCellAnchor>
  <xdr:twoCellAnchor>
    <xdr:from>
      <xdr:col>0</xdr:col>
      <xdr:colOff>0</xdr:colOff>
      <xdr:row>22</xdr:row>
      <xdr:rowOff>7620</xdr:rowOff>
    </xdr:from>
    <xdr:to>
      <xdr:col>5</xdr:col>
      <xdr:colOff>7620</xdr:colOff>
      <xdr:row>35</xdr:row>
      <xdr:rowOff>0</xdr:rowOff>
    </xdr:to>
    <xdr:sp macro="" textlink="">
      <xdr:nvSpPr>
        <xdr:cNvPr id="3" name="TextBox 2">
          <a:extLst>
            <a:ext uri="{FF2B5EF4-FFF2-40B4-BE49-F238E27FC236}">
              <a16:creationId xmlns:a16="http://schemas.microsoft.com/office/drawing/2014/main" id="{2BF4877C-4EF5-C3CF-0872-ECEEB1CA8A35}"/>
            </a:ext>
          </a:extLst>
        </xdr:cNvPr>
        <xdr:cNvSpPr txBox="1"/>
      </xdr:nvSpPr>
      <xdr:spPr>
        <a:xfrm>
          <a:off x="0" y="4160520"/>
          <a:ext cx="4846320" cy="23698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The pivot table reveals key business insights across product categories and individual performance</a:t>
          </a:r>
          <a:r>
            <a:rPr lang="en-IN" sz="1200" b="0"/>
            <a:t>. </a:t>
          </a:r>
          <a:r>
            <a:rPr lang="en-IN" sz="1200" b="1"/>
            <a:t>Peter </a:t>
          </a:r>
          <a:r>
            <a:rPr lang="en-IN" sz="1200"/>
            <a:t>leads overall sales with </a:t>
          </a:r>
          <a:r>
            <a:rPr lang="en-IN" sz="1200" b="1"/>
            <a:t>₹2,00,995.41</a:t>
          </a:r>
          <a:r>
            <a:rPr lang="en-IN" sz="1200"/>
            <a:t>, contributing </a:t>
          </a:r>
          <a:r>
            <a:rPr lang="en-IN" sz="1200" b="1"/>
            <a:t>nearly 40% of the total revenue. Classic Cars and Vintage Cars </a:t>
          </a:r>
          <a:r>
            <a:rPr lang="en-IN" sz="1200"/>
            <a:t>are the top-performing categories, jointly accounting for </a:t>
          </a:r>
          <a:r>
            <a:rPr lang="en-IN" sz="1200" b="1"/>
            <a:t>nearly ₹3</a:t>
          </a:r>
          <a:r>
            <a:rPr lang="en-IN" sz="1200"/>
            <a:t> </a:t>
          </a:r>
          <a:r>
            <a:rPr lang="en-IN" sz="1200" b="1"/>
            <a:t>lakh</a:t>
          </a:r>
          <a:r>
            <a:rPr lang="en-IN" sz="1200"/>
            <a:t> in sales, indicating strong customer demand in premium segments. Motorcycles show a sharp skew, with Peter driving over 70% of category sales, suggesting a potential specialization or customer preference. Trucks and Buses have balanced contributions across all three individuals, implying consistent performance and broader market appeal. The absence of sales in </a:t>
          </a:r>
          <a:r>
            <a:rPr lang="en-IN" sz="1200" b="1"/>
            <a:t>the Planes category </a:t>
          </a:r>
          <a:r>
            <a:rPr lang="en-IN" sz="1200"/>
            <a:t>and minimal activity in </a:t>
          </a:r>
          <a:r>
            <a:rPr lang="en-IN" sz="1200" b="1"/>
            <a:t>Ships </a:t>
          </a:r>
          <a:r>
            <a:rPr lang="en-IN" sz="1200"/>
            <a:t>highlight </a:t>
          </a:r>
          <a:r>
            <a:rPr lang="en-IN" sz="1200" b="1"/>
            <a:t>underperforming or neglected segments </a:t>
          </a:r>
          <a:r>
            <a:rPr lang="en-IN" sz="1200"/>
            <a:t>that may require strategic review.</a:t>
          </a:r>
        </a:p>
      </xdr:txBody>
    </xdr:sp>
    <xdr:clientData/>
  </xdr:twoCellAnchor>
  <xdr:twoCellAnchor>
    <xdr:from>
      <xdr:col>5</xdr:col>
      <xdr:colOff>502920</xdr:colOff>
      <xdr:row>1</xdr:row>
      <xdr:rowOff>26670</xdr:rowOff>
    </xdr:from>
    <xdr:to>
      <xdr:col>13</xdr:col>
      <xdr:colOff>350520</xdr:colOff>
      <xdr:row>19</xdr:row>
      <xdr:rowOff>129540</xdr:rowOff>
    </xdr:to>
    <xdr:graphicFrame macro="">
      <xdr:nvGraphicFramePr>
        <xdr:cNvPr id="4" name="Chart 3">
          <a:extLst>
            <a:ext uri="{FF2B5EF4-FFF2-40B4-BE49-F238E27FC236}">
              <a16:creationId xmlns:a16="http://schemas.microsoft.com/office/drawing/2014/main" id="{C5B8A7F3-7900-8049-B92D-45348380A6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373380</xdr:colOff>
      <xdr:row>1</xdr:row>
      <xdr:rowOff>38101</xdr:rowOff>
    </xdr:from>
    <xdr:to>
      <xdr:col>14</xdr:col>
      <xdr:colOff>922020</xdr:colOff>
      <xdr:row>6</xdr:row>
      <xdr:rowOff>71120</xdr:rowOff>
    </xdr:to>
    <mc:AlternateContent xmlns:mc="http://schemas.openxmlformats.org/markup-compatibility/2006" xmlns:a14="http://schemas.microsoft.com/office/drawing/2010/main">
      <mc:Choice Requires="a14">
        <xdr:graphicFrame macro="">
          <xdr:nvGraphicFramePr>
            <xdr:cNvPr id="7" name="YEAR_ID 2">
              <a:extLst>
                <a:ext uri="{FF2B5EF4-FFF2-40B4-BE49-F238E27FC236}">
                  <a16:creationId xmlns:a16="http://schemas.microsoft.com/office/drawing/2014/main" id="{0426BB31-EE74-D43E-A04D-5A5D389F7BFA}"/>
                </a:ext>
              </a:extLst>
            </xdr:cNvPr>
            <xdr:cNvGraphicFramePr/>
          </xdr:nvGraphicFramePr>
          <xdr:xfrm>
            <a:off x="0" y="0"/>
            <a:ext cx="0" cy="0"/>
          </xdr:xfrm>
          <a:graphic>
            <a:graphicData uri="http://schemas.microsoft.com/office/drawing/2010/slicer">
              <sle:slicer xmlns:sle="http://schemas.microsoft.com/office/drawing/2010/slicer" name="YEAR_ID 2"/>
            </a:graphicData>
          </a:graphic>
        </xdr:graphicFrame>
      </mc:Choice>
      <mc:Fallback xmlns="">
        <xdr:sp macro="" textlink="">
          <xdr:nvSpPr>
            <xdr:cNvPr id="0" name=""/>
            <xdr:cNvSpPr>
              <a:spLocks noTextEdit="1"/>
            </xdr:cNvSpPr>
          </xdr:nvSpPr>
          <xdr:spPr>
            <a:xfrm>
              <a:off x="10088880" y="220981"/>
              <a:ext cx="1828800" cy="11277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373380</xdr:colOff>
      <xdr:row>8</xdr:row>
      <xdr:rowOff>7621</xdr:rowOff>
    </xdr:from>
    <xdr:to>
      <xdr:col>14</xdr:col>
      <xdr:colOff>922020</xdr:colOff>
      <xdr:row>18</xdr:row>
      <xdr:rowOff>152401</xdr:rowOff>
    </xdr:to>
    <mc:AlternateContent xmlns:mc="http://schemas.openxmlformats.org/markup-compatibility/2006" xmlns:a14="http://schemas.microsoft.com/office/drawing/2010/main">
      <mc:Choice Requires="a14">
        <xdr:graphicFrame macro="">
          <xdr:nvGraphicFramePr>
            <xdr:cNvPr id="8" name="PRODUCTLINE">
              <a:extLst>
                <a:ext uri="{FF2B5EF4-FFF2-40B4-BE49-F238E27FC236}">
                  <a16:creationId xmlns:a16="http://schemas.microsoft.com/office/drawing/2014/main" id="{44C98D5B-55F1-12BB-5F26-0EBA4F3D90FF}"/>
                </a:ext>
              </a:extLst>
            </xdr:cNvPr>
            <xdr:cNvGraphicFramePr/>
          </xdr:nvGraphicFramePr>
          <xdr:xfrm>
            <a:off x="0" y="0"/>
            <a:ext cx="0" cy="0"/>
          </xdr:xfrm>
          <a:graphic>
            <a:graphicData uri="http://schemas.microsoft.com/office/drawing/2010/slicer">
              <sle:slicer xmlns:sle="http://schemas.microsoft.com/office/drawing/2010/slicer" name="PRODUCTLINE"/>
            </a:graphicData>
          </a:graphic>
        </xdr:graphicFrame>
      </mc:Choice>
      <mc:Fallback xmlns="">
        <xdr:sp macro="" textlink="">
          <xdr:nvSpPr>
            <xdr:cNvPr id="0" name=""/>
            <xdr:cNvSpPr>
              <a:spLocks noTextEdit="1"/>
            </xdr:cNvSpPr>
          </xdr:nvSpPr>
          <xdr:spPr>
            <a:xfrm>
              <a:off x="10088880" y="1600201"/>
              <a:ext cx="1828800" cy="1973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3</xdr:row>
      <xdr:rowOff>53340</xdr:rowOff>
    </xdr:from>
    <xdr:to>
      <xdr:col>3</xdr:col>
      <xdr:colOff>0</xdr:colOff>
      <xdr:row>12</xdr:row>
      <xdr:rowOff>80210</xdr:rowOff>
    </xdr:to>
    <xdr:sp macro="" textlink="">
      <xdr:nvSpPr>
        <xdr:cNvPr id="3" name="TextBox 2">
          <a:extLst>
            <a:ext uri="{FF2B5EF4-FFF2-40B4-BE49-F238E27FC236}">
              <a16:creationId xmlns:a16="http://schemas.microsoft.com/office/drawing/2014/main" id="{1065FC94-A2B9-CCD1-5444-0B1583B08EB0}"/>
            </a:ext>
          </a:extLst>
        </xdr:cNvPr>
        <xdr:cNvSpPr txBox="1"/>
      </xdr:nvSpPr>
      <xdr:spPr>
        <a:xfrm>
          <a:off x="0" y="705051"/>
          <a:ext cx="5293895" cy="1651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t>This data presents a monthly summary of sales performance, organized in a pivot table format. It includes three key columns: the month (Row Labels), the total sales amount in Indian Rupees (Sum of TOTAL SALES), and the total quantity of items ordered (Sum of QUANTITYORDERED). Each row corresponds to a specific month.This structure allows for a clear view of how sales and order volumes are distributed over time.</a:t>
          </a:r>
        </a:p>
      </xdr:txBody>
    </xdr:sp>
    <xdr:clientData/>
  </xdr:twoCellAnchor>
  <xdr:twoCellAnchor>
    <xdr:from>
      <xdr:col>0</xdr:col>
      <xdr:colOff>0</xdr:colOff>
      <xdr:row>25</xdr:row>
      <xdr:rowOff>15240</xdr:rowOff>
    </xdr:from>
    <xdr:to>
      <xdr:col>3</xdr:col>
      <xdr:colOff>7620</xdr:colOff>
      <xdr:row>39</xdr:row>
      <xdr:rowOff>0</xdr:rowOff>
    </xdr:to>
    <xdr:sp macro="" textlink="">
      <xdr:nvSpPr>
        <xdr:cNvPr id="5" name="TextBox 4">
          <a:extLst>
            <a:ext uri="{FF2B5EF4-FFF2-40B4-BE49-F238E27FC236}">
              <a16:creationId xmlns:a16="http://schemas.microsoft.com/office/drawing/2014/main" id="{21A58C61-C1E4-9B92-9034-3317A3B68227}"/>
            </a:ext>
          </a:extLst>
        </xdr:cNvPr>
        <xdr:cNvSpPr txBox="1"/>
      </xdr:nvSpPr>
      <xdr:spPr>
        <a:xfrm>
          <a:off x="0" y="4637372"/>
          <a:ext cx="5301515" cy="25113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t>This sales data offers a clear view of how business performance varied across months, revealing both revenue and demand trends. </a:t>
          </a:r>
          <a:r>
            <a:rPr lang="en-IN" sz="1400" b="1"/>
            <a:t>November</a:t>
          </a:r>
          <a:r>
            <a:rPr lang="en-IN" sz="1400"/>
            <a:t> stands out as the strongest month, with </a:t>
          </a:r>
          <a:r>
            <a:rPr lang="en-IN" sz="1400" b="1"/>
            <a:t>₹95,028.15 </a:t>
          </a:r>
          <a:r>
            <a:rPr lang="en-IN" sz="1400"/>
            <a:t>in sales and </a:t>
          </a:r>
          <a:r>
            <a:rPr lang="en-IN" sz="1400" b="1"/>
            <a:t>888 units </a:t>
          </a:r>
          <a:r>
            <a:rPr lang="en-IN" sz="1400"/>
            <a:t>ordered, followed by </a:t>
          </a:r>
          <a:r>
            <a:rPr lang="en-IN" sz="1400" b="1"/>
            <a:t>October and April </a:t>
          </a:r>
          <a:r>
            <a:rPr lang="en-IN" sz="1400"/>
            <a:t>with </a:t>
          </a:r>
          <a:r>
            <a:rPr lang="en-IN" sz="1400" b="1"/>
            <a:t>₹81,002.84 and ₹70,220.38 </a:t>
          </a:r>
          <a:r>
            <a:rPr lang="en-IN" sz="1400"/>
            <a:t>respectively. In contrast, </a:t>
          </a:r>
          <a:r>
            <a:rPr lang="en-IN" sz="1400" b="1"/>
            <a:t>September</a:t>
          </a:r>
          <a:r>
            <a:rPr lang="en-IN" sz="1400"/>
            <a:t> saw the lowest figures—just </a:t>
          </a:r>
          <a:r>
            <a:rPr lang="en-IN" sz="1400" b="1"/>
            <a:t>₹9,738.18 </a:t>
          </a:r>
          <a:r>
            <a:rPr lang="en-IN" sz="1400"/>
            <a:t>in sales and </a:t>
          </a:r>
          <a:r>
            <a:rPr lang="en-IN" sz="1400" b="1"/>
            <a:t>66 units </a:t>
          </a:r>
          <a:r>
            <a:rPr lang="en-IN" sz="1400"/>
            <a:t>ordered. These fluctuations suggest a seasonal pattern in customer purchasing behavior, with peak activity in the post-monsoon months and slower sales during others. Overall, the grand total of </a:t>
          </a:r>
          <a:r>
            <a:rPr lang="en-IN" sz="1400" b="1"/>
            <a:t>₹5,05,111.52 </a:t>
          </a:r>
          <a:r>
            <a:rPr lang="en-IN" sz="1400"/>
            <a:t>across </a:t>
          </a:r>
          <a:r>
            <a:rPr lang="en-IN" sz="1400" b="1"/>
            <a:t>4,976 units </a:t>
          </a:r>
          <a:r>
            <a:rPr lang="en-IN" sz="1400"/>
            <a:t>provides a solid benchmark for evaluating monthly contributions and planning ahead.</a:t>
          </a:r>
        </a:p>
      </xdr:txBody>
    </xdr:sp>
    <xdr:clientData/>
  </xdr:twoCellAnchor>
  <xdr:twoCellAnchor>
    <xdr:from>
      <xdr:col>6</xdr:col>
      <xdr:colOff>340893</xdr:colOff>
      <xdr:row>1</xdr:row>
      <xdr:rowOff>84421</xdr:rowOff>
    </xdr:from>
    <xdr:to>
      <xdr:col>14</xdr:col>
      <xdr:colOff>391026</xdr:colOff>
      <xdr:row>20</xdr:row>
      <xdr:rowOff>80209</xdr:rowOff>
    </xdr:to>
    <xdr:graphicFrame macro="">
      <xdr:nvGraphicFramePr>
        <xdr:cNvPr id="6" name="Chart 5">
          <a:extLst>
            <a:ext uri="{FF2B5EF4-FFF2-40B4-BE49-F238E27FC236}">
              <a16:creationId xmlns:a16="http://schemas.microsoft.com/office/drawing/2014/main" id="{6817AF95-AC9A-8C04-4423-170F68738F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410679</xdr:colOff>
      <xdr:row>1</xdr:row>
      <xdr:rowOff>87830</xdr:rowOff>
    </xdr:from>
    <xdr:to>
      <xdr:col>15</xdr:col>
      <xdr:colOff>556261</xdr:colOff>
      <xdr:row>7</xdr:row>
      <xdr:rowOff>38902</xdr:rowOff>
    </xdr:to>
    <mc:AlternateContent xmlns:mc="http://schemas.openxmlformats.org/markup-compatibility/2006" xmlns:a14="http://schemas.microsoft.com/office/drawing/2010/main">
      <mc:Choice Requires="a14">
        <xdr:graphicFrame macro="">
          <xdr:nvGraphicFramePr>
            <xdr:cNvPr id="7" name="YEAR_ID 3">
              <a:extLst>
                <a:ext uri="{FF2B5EF4-FFF2-40B4-BE49-F238E27FC236}">
                  <a16:creationId xmlns:a16="http://schemas.microsoft.com/office/drawing/2014/main" id="{938C2E46-8013-B33A-B0AF-9F770428AE4F}"/>
                </a:ext>
              </a:extLst>
            </xdr:cNvPr>
            <xdr:cNvGraphicFramePr/>
          </xdr:nvGraphicFramePr>
          <xdr:xfrm>
            <a:off x="0" y="0"/>
            <a:ext cx="0" cy="0"/>
          </xdr:xfrm>
          <a:graphic>
            <a:graphicData uri="http://schemas.microsoft.com/office/drawing/2010/slicer">
              <sle:slicer xmlns:sle="http://schemas.microsoft.com/office/drawing/2010/slicer" name="YEAR_ID 3"/>
            </a:graphicData>
          </a:graphic>
        </xdr:graphicFrame>
      </mc:Choice>
      <mc:Fallback xmlns="">
        <xdr:sp macro="" textlink="">
          <xdr:nvSpPr>
            <xdr:cNvPr id="0" name=""/>
            <xdr:cNvSpPr>
              <a:spLocks noTextEdit="1"/>
            </xdr:cNvSpPr>
          </xdr:nvSpPr>
          <xdr:spPr>
            <a:xfrm>
              <a:off x="13725626" y="268304"/>
              <a:ext cx="1830003" cy="12244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451185</xdr:colOff>
      <xdr:row>22</xdr:row>
      <xdr:rowOff>91971</xdr:rowOff>
    </xdr:from>
    <xdr:to>
      <xdr:col>14</xdr:col>
      <xdr:colOff>399048</xdr:colOff>
      <xdr:row>41</xdr:row>
      <xdr:rowOff>105477</xdr:rowOff>
    </xdr:to>
    <xdr:pic>
      <xdr:nvPicPr>
        <xdr:cNvPr id="9" name="Picture 8">
          <a:extLst>
            <a:ext uri="{FF2B5EF4-FFF2-40B4-BE49-F238E27FC236}">
              <a16:creationId xmlns:a16="http://schemas.microsoft.com/office/drawing/2014/main" id="{70A219C9-38EC-796C-F556-523F6129A1F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26343" y="4172682"/>
          <a:ext cx="5763126" cy="3442506"/>
        </a:xfrm>
        <a:prstGeom prst="rect">
          <a:avLst/>
        </a:prstGeom>
        <a:ln w="88900" cap="sq" cmpd="thickThin">
          <a:solidFill>
            <a:srgbClr val="000000"/>
          </a:solidFill>
          <a:prstDash val="solid"/>
          <a:miter lim="800000"/>
        </a:ln>
        <a:effectLst>
          <a:innerShdw blurRad="76200">
            <a:srgbClr val="000000"/>
          </a:innerShdw>
        </a:effec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268310</xdr:colOff>
      <xdr:row>14</xdr:row>
      <xdr:rowOff>1</xdr:rowOff>
    </xdr:from>
    <xdr:to>
      <xdr:col>3</xdr:col>
      <xdr:colOff>3584620</xdr:colOff>
      <xdr:row>40</xdr:row>
      <xdr:rowOff>43542</xdr:rowOff>
    </xdr:to>
    <xdr:graphicFrame macro="">
      <xdr:nvGraphicFramePr>
        <xdr:cNvPr id="5" name="Diagram 4">
          <a:extLst>
            <a:ext uri="{FF2B5EF4-FFF2-40B4-BE49-F238E27FC236}">
              <a16:creationId xmlns:a16="http://schemas.microsoft.com/office/drawing/2014/main" id="{EC9C031D-9DDA-41A6-6D65-556450CF5DD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nu Gupta" refreshedDate="45976.459483101855" createdVersion="8" refreshedVersion="8" minRefreshableVersion="3" recordCount="146" xr:uid="{C6A1BEEE-D54E-46CD-91C7-C560A53162A4}">
  <cacheSource type="worksheet">
    <worksheetSource ref="A6:Z154" sheet="RAW DATA"/>
  </cacheSource>
  <cacheFields count="29">
    <cacheField name="ORDERNUMBER" numFmtId="0">
      <sharedItems containsSemiMixedTypes="0" containsString="0" containsNumber="1" containsInteger="1" minValue="10120" maxValue="10420"/>
    </cacheField>
    <cacheField name="QUANTITYORDERED" numFmtId="0">
      <sharedItems containsSemiMixedTypes="0" containsString="0" containsNumber="1" containsInteger="1" minValue="15" maxValue="66" count="35">
        <n v="37"/>
        <n v="21"/>
        <n v="30"/>
        <n v="24"/>
        <n v="29"/>
        <n v="47"/>
        <n v="26"/>
        <n v="46"/>
        <n v="49"/>
        <n v="32"/>
        <n v="27"/>
        <n v="35"/>
        <n v="28"/>
        <n v="39"/>
        <n v="36"/>
        <n v="43"/>
        <n v="42"/>
        <n v="23"/>
        <n v="40"/>
        <n v="31"/>
        <n v="55"/>
        <n v="25"/>
        <n v="22"/>
        <n v="45"/>
        <n v="50"/>
        <n v="44"/>
        <n v="34"/>
        <n v="41"/>
        <n v="48"/>
        <n v="20"/>
        <n v="38"/>
        <n v="66"/>
        <n v="33"/>
        <n v="60"/>
        <n v="15"/>
      </sharedItems>
    </cacheField>
    <cacheField name="UNIT PRICE" numFmtId="164">
      <sharedItems containsSemiMixedTypes="0" containsString="0" containsNumber="1" minValue="26.88" maxValue="100"/>
    </cacheField>
    <cacheField name="ORDERLINENUMBER" numFmtId="0">
      <sharedItems containsSemiMixedTypes="0" containsString="0" containsNumber="1" containsInteger="1" minValue="1" maxValue="15"/>
    </cacheField>
    <cacheField name="TOTAL SALES" numFmtId="164">
      <sharedItems containsSemiMixedTypes="0" containsString="0" containsNumber="1" minValue="652.35" maxValue="9774.0300000000007" count="146">
        <n v="3965.66"/>
        <n v="4905.3900000000003"/>
        <n v="3944.7"/>
        <n v="2416.56"/>
        <n v="2793.86"/>
        <n v="5422.39"/>
        <n v="1329.9"/>
        <n v="9264.86"/>
        <n v="9774.0300000000007"/>
        <n v="4302.08"/>
        <n v="4428"/>
        <n v="2297.0500000000002"/>
        <n v="1735.3"/>
        <n v="5019.8999999999996"/>
        <n v="4094.72"/>
        <n v="3586.43"/>
        <n v="8470.14"/>
        <n v="2464.8000000000002"/>
        <n v="4639.25"/>
        <n v="2298.2399999999998"/>
        <n v="4164.12"/>
        <n v="2083.1999999999998"/>
        <n v="3911.49"/>
        <n v="2467.9"/>
        <n v="2702.04"/>
        <n v="6454.4"/>
        <n v="3254.72"/>
        <n v="3184.94"/>
        <n v="5548.9"/>
        <n v="2113.37"/>
        <n v="1237.95"/>
        <n v="4998"/>
        <n v="5848.68"/>
        <n v="5283.6"/>
        <n v="3599.75"/>
        <n v="4232"/>
        <n v="3160.74"/>
        <n v="2288.52"/>
        <n v="3949"/>
        <n v="4977"/>
        <n v="6834.5"/>
        <n v="2130.92"/>
        <n v="1694"/>
        <n v="2082.4899999999998"/>
        <n v="4724.91"/>
        <n v="2674.9"/>
        <n v="1695.96"/>
        <n v="6483.46"/>
        <n v="7956.46"/>
        <n v="4815.3"/>
        <n v="3528.36"/>
        <n v="5545.76"/>
        <n v="2983.44"/>
        <n v="4814.3999999999996"/>
        <n v="1448"/>
        <n v="1424"/>
        <n v="2208.64"/>
        <n v="1801.2"/>
        <n v="4775.08"/>
        <n v="4948.2"/>
        <n v="5418.88"/>
        <n v="5029.5"/>
        <n v="1534.95"/>
        <n v="2264.3200000000002"/>
        <n v="1668.5"/>
        <n v="3095.4"/>
        <n v="2656.94"/>
        <n v="4444.92"/>
        <n v="6548.3"/>
        <n v="3639.44"/>
        <n v="2598.8200000000002"/>
        <n v="1454.7"/>
        <n v="3598.22"/>
        <n v="6134.7"/>
        <n v="5383.08"/>
        <n v="5884.65"/>
        <n v="1668.37"/>
        <n v="2567.84"/>
        <n v="2730"/>
        <n v="4910.3999999999996"/>
        <n v="6276.46"/>
        <n v="2356.25"/>
        <n v="2078.2800000000002"/>
        <n v="1506.5"/>
        <n v="3880.2"/>
        <n v="3431.75"/>
        <n v="2921.28"/>
        <n v="2671.95"/>
        <n v="2233.69"/>
        <n v="4651.53"/>
        <n v="3608.76"/>
        <n v="8344.7099999999991"/>
        <n v="1209.5999999999999"/>
        <n v="2848.86"/>
        <n v="2633.78"/>
        <n v="4042.08"/>
        <n v="2816.18"/>
        <n v="1545.6"/>
        <n v="3933.93"/>
        <n v="4392.12"/>
        <n v="5296.5"/>
        <n v="1575.6"/>
        <n v="2282.2199999999998"/>
        <n v="3385.9"/>
        <n v="1707.14"/>
        <n v="2997.6"/>
        <n v="3871.92"/>
        <n v="3469.5"/>
        <n v="2617.16"/>
        <n v="5013.54"/>
        <n v="3710.98"/>
        <n v="652.35"/>
        <n v="3276.13"/>
        <n v="2479.21"/>
        <n v="1716.26"/>
        <n v="1561.5"/>
        <n v="2269.92"/>
        <n v="2743.04"/>
        <n v="2461.36"/>
        <n v="2475.27"/>
        <n v="1035.58"/>
        <n v="1330.35"/>
        <n v="3160.25"/>
        <n v="2094.67"/>
        <n v="1320.8"/>
        <n v="3544.17"/>
        <n v="3920.88"/>
        <n v="2480.38"/>
        <n v="1896.66"/>
        <n v="2725.47"/>
        <n v="3866.4"/>
        <n v="3863.87"/>
        <n v="2534.75"/>
        <n v="1210.8"/>
        <n v="1089.3599999999999"/>
        <n v="2584.8000000000002"/>
        <n v="2754.7"/>
        <n v="4048"/>
        <n v="3417.12"/>
        <n v="3199.86"/>
        <n v="3186.48"/>
        <n v="3268"/>
        <n v="1747.2"/>
        <n v="5001.92"/>
        <n v="4277.3500000000004"/>
        <n v="2189.6"/>
      </sharedItems>
    </cacheField>
    <cacheField name="ORDERDATE" numFmtId="14">
      <sharedItems containsSemiMixedTypes="0" containsNonDate="0" containsDate="1" containsString="0" minDate="2003-04-29T00:00:00" maxDate="2005-05-30T00:00:00" count="13">
        <d v="2004-02-20T00:00:00"/>
        <d v="2004-07-19T00:00:00"/>
        <d v="2004-11-29T00:00:00"/>
        <d v="2005-03-09T00:00:00"/>
        <d v="2003-04-29T00:00:00"/>
        <d v="2004-12-17T00:00:00"/>
        <d v="2005-01-20T00:00:00"/>
        <d v="2003-11-04T00:00:00"/>
        <d v="2003-09-11T00:00:00"/>
        <d v="2004-11-24T00:00:00"/>
        <d v="2003-05-21T00:00:00"/>
        <d v="2003-07-16T00:00:00"/>
        <d v="2005-05-29T00:00:00"/>
      </sharedItems>
      <fieldGroup par="28"/>
    </cacheField>
    <cacheField name="STATUS" numFmtId="0">
      <sharedItems/>
    </cacheField>
    <cacheField name="QTR_ID" numFmtId="0">
      <sharedItems containsSemiMixedTypes="0" containsString="0" containsNumber="1" containsInteger="1" minValue="1" maxValue="4"/>
    </cacheField>
    <cacheField name="MONTH_ID" numFmtId="0">
      <sharedItems containsSemiMixedTypes="0" containsString="0" containsNumber="1" containsInteger="1" minValue="1" maxValue="12"/>
    </cacheField>
    <cacheField name="MONTH_NAME" numFmtId="0">
      <sharedItems containsBlank="1" count="9">
        <s v="November"/>
        <s v="October"/>
        <s v="March"/>
        <s v="April"/>
        <s v="May"/>
        <s v="February"/>
        <s v="August"/>
        <s v="September"/>
        <m/>
      </sharedItems>
    </cacheField>
    <cacheField name="YEAR_ID" numFmtId="0">
      <sharedItems containsSemiMixedTypes="0" containsString="0" containsNumber="1" containsInteger="1" minValue="2003" maxValue="2005" count="3">
        <n v="2004"/>
        <n v="2005"/>
        <n v="2003"/>
      </sharedItems>
    </cacheField>
    <cacheField name="PRODUCTLINE" numFmtId="0">
      <sharedItems count="6">
        <s v="Motorcycles"/>
        <s v="Classic Cars"/>
        <s v="Trucks and Buses"/>
        <s v="Vintage Cars"/>
        <s v="Planes"/>
        <s v="Ships"/>
      </sharedItems>
    </cacheField>
    <cacheField name="MSRP" numFmtId="0">
      <sharedItems containsSemiMixedTypes="0" containsString="0" containsNumber="1" containsInteger="1" minValue="33" maxValue="214"/>
    </cacheField>
    <cacheField name="PRODUCTCODE" numFmtId="0">
      <sharedItems/>
    </cacheField>
    <cacheField name="CUSTOMERNAME" numFmtId="0">
      <sharedItems/>
    </cacheField>
    <cacheField name="PHONE" numFmtId="0">
      <sharedItems/>
    </cacheField>
    <cacheField name="ADDRESSLINE1" numFmtId="0">
      <sharedItems/>
    </cacheField>
    <cacheField name="ADDRESSLINE2" numFmtId="0">
      <sharedItems/>
    </cacheField>
    <cacheField name="CITY" numFmtId="0">
      <sharedItems count="3">
        <s v="Melbourne"/>
        <s v="Chatswood"/>
        <s v="North Sydney"/>
      </sharedItems>
    </cacheField>
    <cacheField name="STATE" numFmtId="0">
      <sharedItems count="2">
        <s v="Victoria"/>
        <s v="NSW"/>
      </sharedItems>
    </cacheField>
    <cacheField name="POSTALCODE" numFmtId="0">
      <sharedItems/>
    </cacheField>
    <cacheField name="COUNTRY" numFmtId="0">
      <sharedItems/>
    </cacheField>
    <cacheField name="TERRITORY" numFmtId="0">
      <sharedItems count="1">
        <s v="APAC"/>
      </sharedItems>
    </cacheField>
    <cacheField name="CONTACTLASTNAME" numFmtId="0">
      <sharedItems count="3">
        <s v="Ferguson"/>
        <s v="Huxley"/>
        <s v="O'Hara"/>
      </sharedItems>
    </cacheField>
    <cacheField name="CONTACTFIRSTNAME" numFmtId="0">
      <sharedItems count="3">
        <s v="Peter"/>
        <s v="Adrian"/>
        <s v="Anna"/>
      </sharedItems>
    </cacheField>
    <cacheField name="DEALSIZE" numFmtId="0">
      <sharedItems/>
    </cacheField>
    <cacheField name="Months (ORDERDATE)" numFmtId="0" databaseField="0">
      <fieldGroup base="5">
        <rangePr groupBy="months" startDate="2003-04-29T00:00:00" endDate="2005-05-30T00:00:00"/>
        <groupItems count="14">
          <s v="&lt;29-04-2003"/>
          <s v="Jan"/>
          <s v="Feb"/>
          <s v="Mar"/>
          <s v="Apr"/>
          <s v="May"/>
          <s v="Jun"/>
          <s v="Jul"/>
          <s v="Aug"/>
          <s v="Sep"/>
          <s v="Oct"/>
          <s v="Nov"/>
          <s v="Dec"/>
          <s v="&gt;30-05-2005"/>
        </groupItems>
      </fieldGroup>
    </cacheField>
    <cacheField name="Quarters (ORDERDATE)" numFmtId="0" databaseField="0">
      <fieldGroup base="5">
        <rangePr groupBy="quarters" startDate="2003-04-29T00:00:00" endDate="2005-05-30T00:00:00"/>
        <groupItems count="6">
          <s v="&lt;29-04-2003"/>
          <s v="Qtr1"/>
          <s v="Qtr2"/>
          <s v="Qtr3"/>
          <s v="Qtr4"/>
          <s v="&gt;30-05-2005"/>
        </groupItems>
      </fieldGroup>
    </cacheField>
    <cacheField name="Years (ORDERDATE)" numFmtId="0" databaseField="0">
      <fieldGroup base="5">
        <rangePr groupBy="years" startDate="2003-04-29T00:00:00" endDate="2005-05-30T00:00:00"/>
        <groupItems count="5">
          <s v="&lt;29-04-2003"/>
          <s v="2003"/>
          <s v="2004"/>
          <s v="2005"/>
          <s v="&gt;30-05-2005"/>
        </groupItems>
      </fieldGroup>
    </cacheField>
  </cacheFields>
  <extLst>
    <ext xmlns:x14="http://schemas.microsoft.com/office/spreadsheetml/2009/9/main" uri="{725AE2AE-9491-48be-B2B4-4EB974FC3084}">
      <x14:pivotCacheDefinition pivotCacheId="202004376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nu Gupta" refreshedDate="45977.098994560183" createdVersion="8" refreshedVersion="8" minRefreshableVersion="3" recordCount="146" xr:uid="{9F0B2BC0-A102-4539-92BE-F3841C52F8B7}">
  <cacheSource type="worksheet">
    <worksheetSource ref="A1:H147" sheet="CLEANED REPORT "/>
  </cacheSource>
  <cacheFields count="8">
    <cacheField name="ORDERNUMBER" numFmtId="0">
      <sharedItems containsSemiMixedTypes="0" containsString="0" containsNumber="1" containsInteger="1" minValue="10120" maxValue="10420"/>
    </cacheField>
    <cacheField name="QUANTITYORDERED" numFmtId="0">
      <sharedItems containsSemiMixedTypes="0" containsString="0" containsNumber="1" containsInteger="1" minValue="15" maxValue="66" count="35">
        <n v="47"/>
        <n v="40"/>
        <n v="55"/>
        <n v="34"/>
        <n v="31"/>
        <n v="46"/>
        <n v="38"/>
        <n v="36"/>
        <n v="26"/>
        <n v="49"/>
        <n v="28"/>
        <n v="44"/>
        <n v="42"/>
        <n v="43"/>
        <n v="21"/>
        <n v="29"/>
        <n v="23"/>
        <n v="27"/>
        <n v="32"/>
        <n v="37"/>
        <n v="20"/>
        <n v="39"/>
        <n v="41"/>
        <n v="25"/>
        <n v="33"/>
        <n v="30"/>
        <n v="50"/>
        <n v="66"/>
        <n v="24"/>
        <n v="22"/>
        <n v="35"/>
        <n v="48"/>
        <n v="15"/>
        <n v="45"/>
        <n v="60"/>
      </sharedItems>
    </cacheField>
    <cacheField name="UNIT PRICE" numFmtId="164">
      <sharedItems containsSemiMixedTypes="0" containsString="0" containsNumber="1" minValue="26.88" maxValue="100"/>
    </cacheField>
    <cacheField name="SALES" numFmtId="164">
      <sharedItems containsSemiMixedTypes="0" containsString="0" containsNumber="1" minValue="652.35" maxValue="9774.0300000000007"/>
    </cacheField>
    <cacheField name="ORDERDATE" numFmtId="14">
      <sharedItems containsSemiMixedTypes="0" containsNonDate="0" containsDate="1" containsString="0" minDate="2003-04-29T00:00:00" maxDate="2005-05-30T00:00:00" count="13">
        <d v="2004-02-20T00:00:00"/>
        <d v="2004-11-24T00:00:00"/>
        <d v="2005-05-29T00:00:00"/>
        <d v="2003-05-21T00:00:00"/>
        <d v="2003-07-16T00:00:00"/>
        <d v="2003-04-29T00:00:00"/>
        <d v="2003-11-04T00:00:00"/>
        <d v="2004-12-17T00:00:00"/>
        <d v="2005-01-20T00:00:00"/>
        <d v="2003-09-11T00:00:00"/>
        <d v="2005-03-09T00:00:00"/>
        <d v="2004-07-19T00:00:00"/>
        <d v="2004-11-29T00:00:00"/>
      </sharedItems>
    </cacheField>
    <cacheField name="PRODUCTLINE" numFmtId="0">
      <sharedItems count="6">
        <s v="Vintage Cars"/>
        <s v="Motorcycles"/>
        <s v="Trucks and Buses"/>
        <s v="Classic Cars"/>
        <s v="Planes"/>
        <s v="Ships"/>
      </sharedItems>
    </cacheField>
    <cacheField name="CITY" numFmtId="0">
      <sharedItems count="3">
        <s v="Chatswood"/>
        <s v="Melbourne"/>
        <s v="North Sydney"/>
      </sharedItems>
    </cacheField>
    <cacheField name="DEALSIZE" numFmtId="0">
      <sharedItems count="3">
        <s v="Large"/>
        <s v="Medium"/>
        <s v="Small"/>
      </sharedItems>
    </cacheField>
  </cacheFields>
  <extLst>
    <ext xmlns:x14="http://schemas.microsoft.com/office/spreadsheetml/2009/9/main" uri="{725AE2AE-9491-48be-B2B4-4EB974FC3084}">
      <x14:pivotCacheDefinition pivotCacheId="5154344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n v="10223"/>
    <x v="0"/>
    <n v="100"/>
    <n v="1"/>
    <x v="0"/>
    <x v="0"/>
    <s v="Shipped"/>
    <n v="1"/>
    <n v="2"/>
    <x v="0"/>
    <x v="0"/>
    <x v="0"/>
    <n v="95"/>
    <s v="S10_1678"/>
    <s v="Australian Collectors, Co."/>
    <s v="03 9520 4555"/>
    <s v="636 St Kilda Road"/>
    <s v="Level 3"/>
    <x v="0"/>
    <x v="0"/>
    <s v="3004"/>
    <s v="Australia"/>
    <x v="0"/>
    <x v="0"/>
    <x v="0"/>
    <s v="Medium"/>
  </r>
  <r>
    <n v="10270"/>
    <x v="1"/>
    <n v="100"/>
    <n v="9"/>
    <x v="1"/>
    <x v="1"/>
    <s v="Shipped"/>
    <n v="3"/>
    <n v="7"/>
    <x v="1"/>
    <x v="0"/>
    <x v="1"/>
    <n v="214"/>
    <s v="S10_1949"/>
    <s v="Souveniers And Things Co."/>
    <s v="+61 2 9495 8555"/>
    <s v="Monitor Money Building, 815 Pacific Hwy"/>
    <s v="Level 6"/>
    <x v="1"/>
    <x v="1"/>
    <s v="2067"/>
    <s v="Australia"/>
    <x v="0"/>
    <x v="1"/>
    <x v="1"/>
    <s v="Medium"/>
  </r>
  <r>
    <n v="10347"/>
    <x v="2"/>
    <n v="100"/>
    <n v="1"/>
    <x v="2"/>
    <x v="2"/>
    <s v="Shipped"/>
    <n v="4"/>
    <n v="11"/>
    <x v="2"/>
    <x v="0"/>
    <x v="1"/>
    <n v="214"/>
    <s v="S10_1949"/>
    <s v="Australian Collectors, Co."/>
    <s v="03 9520 4555"/>
    <s v="636 St Kilda Road"/>
    <s v="Level 3"/>
    <x v="0"/>
    <x v="0"/>
    <s v="3004"/>
    <s v="Australia"/>
    <x v="0"/>
    <x v="0"/>
    <x v="0"/>
    <s v="Medium"/>
  </r>
  <r>
    <n v="10391"/>
    <x v="3"/>
    <n v="100"/>
    <n v="4"/>
    <x v="3"/>
    <x v="3"/>
    <s v="Shipped"/>
    <n v="1"/>
    <n v="3"/>
    <x v="0"/>
    <x v="1"/>
    <x v="1"/>
    <n v="214"/>
    <s v="S10_1949"/>
    <s v="Anna's Decorations, Ltd"/>
    <s v="02 9936 8555"/>
    <s v="201 Miller Street"/>
    <s v="Level 15"/>
    <x v="2"/>
    <x v="1"/>
    <s v="2060"/>
    <s v="Australia"/>
    <x v="0"/>
    <x v="2"/>
    <x v="2"/>
    <s v="Small"/>
  </r>
  <r>
    <n v="10120"/>
    <x v="4"/>
    <n v="96.34"/>
    <n v="3"/>
    <x v="4"/>
    <x v="4"/>
    <s v="Shipped"/>
    <n v="2"/>
    <n v="4"/>
    <x v="3"/>
    <x v="2"/>
    <x v="0"/>
    <n v="118"/>
    <s v="S10_2016"/>
    <s v="Australian Collectors, Co."/>
    <s v="03 9520 4555"/>
    <s v="636 St Kilda Road"/>
    <s v="Level 3"/>
    <x v="0"/>
    <x v="0"/>
    <s v="3004"/>
    <s v="Australia"/>
    <x v="0"/>
    <x v="0"/>
    <x v="0"/>
    <s v="Small"/>
  </r>
  <r>
    <n v="10223"/>
    <x v="5"/>
    <n v="100"/>
    <n v="4"/>
    <x v="5"/>
    <x v="0"/>
    <s v="Shipped"/>
    <n v="1"/>
    <n v="2"/>
    <x v="0"/>
    <x v="0"/>
    <x v="0"/>
    <n v="118"/>
    <s v="S10_2016"/>
    <s v="Australian Collectors, Co."/>
    <s v="03 9520 4555"/>
    <s v="636 St Kilda Road"/>
    <s v="Level 3"/>
    <x v="0"/>
    <x v="0"/>
    <s v="3004"/>
    <s v="Australia"/>
    <x v="0"/>
    <x v="0"/>
    <x v="0"/>
    <s v="Medium"/>
  </r>
  <r>
    <n v="10361"/>
    <x v="6"/>
    <n v="51.15"/>
    <n v="8"/>
    <x v="6"/>
    <x v="5"/>
    <s v="Shipped"/>
    <n v="4"/>
    <n v="12"/>
    <x v="4"/>
    <x v="0"/>
    <x v="0"/>
    <n v="118"/>
    <s v="S10_2016"/>
    <s v="Souveniers And Things Co."/>
    <s v="+61 2 9495 8555"/>
    <s v="Monitor Money Building, 815 Pacific Hwy"/>
    <s v="Level 6"/>
    <x v="1"/>
    <x v="1"/>
    <s v="2067"/>
    <s v="Australia"/>
    <x v="0"/>
    <x v="1"/>
    <x v="1"/>
    <s v="Small"/>
  </r>
  <r>
    <n v="10120"/>
    <x v="7"/>
    <n v="100"/>
    <n v="2"/>
    <x v="7"/>
    <x v="4"/>
    <s v="Shipped"/>
    <n v="2"/>
    <n v="4"/>
    <x v="3"/>
    <x v="2"/>
    <x v="0"/>
    <n v="193"/>
    <s v="S10_4698"/>
    <s v="Australian Collectors, Co."/>
    <s v="03 9520 4555"/>
    <s v="636 St Kilda Road"/>
    <s v="Level 3"/>
    <x v="0"/>
    <x v="0"/>
    <s v="3004"/>
    <s v="Australia"/>
    <x v="0"/>
    <x v="0"/>
    <x v="0"/>
    <s v="Large"/>
  </r>
  <r>
    <n v="10223"/>
    <x v="8"/>
    <n v="100"/>
    <n v="3"/>
    <x v="8"/>
    <x v="0"/>
    <s v="Shipped"/>
    <n v="1"/>
    <n v="2"/>
    <x v="0"/>
    <x v="0"/>
    <x v="0"/>
    <n v="193"/>
    <s v="S10_4698"/>
    <s v="Australian Collectors, Co."/>
    <s v="03 9520 4555"/>
    <s v="636 St Kilda Road"/>
    <s v="Level 3"/>
    <x v="0"/>
    <x v="0"/>
    <s v="3004"/>
    <s v="Australia"/>
    <x v="0"/>
    <x v="0"/>
    <x v="0"/>
    <s v="Large"/>
  </r>
  <r>
    <n v="10270"/>
    <x v="9"/>
    <n v="100"/>
    <n v="2"/>
    <x v="9"/>
    <x v="1"/>
    <s v="Shipped"/>
    <n v="3"/>
    <n v="7"/>
    <x v="1"/>
    <x v="0"/>
    <x v="1"/>
    <n v="147"/>
    <s v="S10_4962"/>
    <s v="Souveniers And Things Co."/>
    <s v="+61 2 9495 8555"/>
    <s v="Monitor Money Building, 815 Pacific Hwy"/>
    <s v="Level 6"/>
    <x v="1"/>
    <x v="1"/>
    <s v="2067"/>
    <s v="Australia"/>
    <x v="0"/>
    <x v="1"/>
    <x v="1"/>
    <s v="Medium"/>
  </r>
  <r>
    <n v="10347"/>
    <x v="10"/>
    <n v="100"/>
    <n v="2"/>
    <x v="10"/>
    <x v="2"/>
    <s v="Shipped"/>
    <n v="4"/>
    <n v="11"/>
    <x v="2"/>
    <x v="0"/>
    <x v="1"/>
    <n v="147"/>
    <s v="S10_4962"/>
    <s v="Australian Collectors, Co."/>
    <s v="03 9520 4555"/>
    <s v="636 St Kilda Road"/>
    <s v="Level 3"/>
    <x v="0"/>
    <x v="0"/>
    <s v="3004"/>
    <s v="Australia"/>
    <x v="0"/>
    <x v="0"/>
    <x v="0"/>
    <s v="Medium"/>
  </r>
  <r>
    <n v="10370"/>
    <x v="11"/>
    <n v="65.63"/>
    <n v="4"/>
    <x v="11"/>
    <x v="6"/>
    <s v="Shipped"/>
    <n v="1"/>
    <n v="1"/>
    <x v="5"/>
    <x v="1"/>
    <x v="1"/>
    <n v="147"/>
    <s v="S10_4962"/>
    <s v="Anna's Decorations, Ltd"/>
    <s v="02 9936 8555"/>
    <s v="201 Miller Street"/>
    <s v="Level 15"/>
    <x v="2"/>
    <x v="1"/>
    <s v="2060"/>
    <s v="Australia"/>
    <x v="0"/>
    <x v="2"/>
    <x v="2"/>
    <s v="Small"/>
  </r>
  <r>
    <n v="10391"/>
    <x v="0"/>
    <n v="46.9"/>
    <n v="7"/>
    <x v="12"/>
    <x v="3"/>
    <s v="Shipped"/>
    <n v="1"/>
    <n v="3"/>
    <x v="0"/>
    <x v="1"/>
    <x v="1"/>
    <n v="147"/>
    <s v="S10_4962"/>
    <s v="Anna's Decorations, Ltd"/>
    <s v="02 9936 8555"/>
    <s v="201 Miller Street"/>
    <s v="Level 15"/>
    <x v="2"/>
    <x v="1"/>
    <s v="2060"/>
    <s v="Australia"/>
    <x v="0"/>
    <x v="2"/>
    <x v="2"/>
    <s v="Small"/>
  </r>
  <r>
    <n v="10169"/>
    <x v="2"/>
    <n v="100"/>
    <n v="2"/>
    <x v="13"/>
    <x v="7"/>
    <s v="Shipped"/>
    <n v="4"/>
    <n v="11"/>
    <x v="4"/>
    <x v="2"/>
    <x v="1"/>
    <n v="194"/>
    <s v="S12_1099"/>
    <s v="Anna's Decorations, Ltd"/>
    <s v="02 9936 8555"/>
    <s v="201 Miller Street"/>
    <s v="Level 15"/>
    <x v="2"/>
    <x v="1"/>
    <s v="2060"/>
    <s v="Australia"/>
    <x v="0"/>
    <x v="2"/>
    <x v="2"/>
    <s v="Medium"/>
  </r>
  <r>
    <n v="10270"/>
    <x v="12"/>
    <n v="100"/>
    <n v="6"/>
    <x v="14"/>
    <x v="1"/>
    <s v="Shipped"/>
    <n v="3"/>
    <n v="7"/>
    <x v="1"/>
    <x v="0"/>
    <x v="2"/>
    <n v="136"/>
    <s v="S12_1666"/>
    <s v="Souveniers And Things Co."/>
    <s v="+61 2 9495 8555"/>
    <s v="Monitor Money Building, 815 Pacific Hwy"/>
    <s v="Level 6"/>
    <x v="1"/>
    <x v="1"/>
    <s v="2067"/>
    <s v="Australia"/>
    <x v="0"/>
    <x v="1"/>
    <x v="1"/>
    <s v="Medium"/>
  </r>
  <r>
    <n v="10347"/>
    <x v="4"/>
    <n v="100"/>
    <n v="3"/>
    <x v="15"/>
    <x v="2"/>
    <s v="Shipped"/>
    <n v="4"/>
    <n v="11"/>
    <x v="2"/>
    <x v="0"/>
    <x v="2"/>
    <n v="136"/>
    <s v="S12_1666"/>
    <s v="Australian Collectors, Co."/>
    <s v="03 9520 4555"/>
    <s v="636 St Kilda Road"/>
    <s v="Level 3"/>
    <x v="0"/>
    <x v="0"/>
    <s v="3004"/>
    <s v="Australia"/>
    <x v="0"/>
    <x v="0"/>
    <x v="0"/>
    <s v="Medium"/>
  </r>
  <r>
    <n v="10370"/>
    <x v="8"/>
    <n v="100"/>
    <n v="8"/>
    <x v="16"/>
    <x v="6"/>
    <s v="Shipped"/>
    <n v="1"/>
    <n v="1"/>
    <x v="5"/>
    <x v="1"/>
    <x v="2"/>
    <n v="136"/>
    <s v="S12_1666"/>
    <s v="Anna's Decorations, Ltd"/>
    <s v="02 9936 8555"/>
    <s v="201 Miller Street"/>
    <s v="Level 15"/>
    <x v="2"/>
    <x v="1"/>
    <s v="2060"/>
    <s v="Australia"/>
    <x v="0"/>
    <x v="2"/>
    <x v="2"/>
    <s v="Large"/>
  </r>
  <r>
    <n v="10391"/>
    <x v="13"/>
    <n v="63.2"/>
    <n v="9"/>
    <x v="17"/>
    <x v="3"/>
    <s v="Shipped"/>
    <n v="1"/>
    <n v="3"/>
    <x v="0"/>
    <x v="1"/>
    <x v="2"/>
    <n v="136"/>
    <s v="S12_1666"/>
    <s v="Anna's Decorations, Ltd"/>
    <s v="02 9936 8555"/>
    <s v="201 Miller Street"/>
    <s v="Level 15"/>
    <x v="2"/>
    <x v="1"/>
    <s v="2060"/>
    <s v="Australia"/>
    <x v="0"/>
    <x v="2"/>
    <x v="2"/>
    <s v="Small"/>
  </r>
  <r>
    <n v="10169"/>
    <x v="11"/>
    <n v="100"/>
    <n v="13"/>
    <x v="18"/>
    <x v="7"/>
    <s v="Shipped"/>
    <n v="4"/>
    <n v="11"/>
    <x v="4"/>
    <x v="2"/>
    <x v="0"/>
    <n v="150"/>
    <s v="S12_2823"/>
    <s v="Anna's Decorations, Ltd"/>
    <s v="02 9936 8555"/>
    <s v="201 Miller Street"/>
    <s v="Level 15"/>
    <x v="2"/>
    <x v="1"/>
    <s v="2060"/>
    <s v="Australia"/>
    <x v="0"/>
    <x v="2"/>
    <x v="2"/>
    <s v="Medium"/>
  </r>
  <r>
    <n v="10169"/>
    <x v="14"/>
    <n v="63.84"/>
    <n v="3"/>
    <x v="19"/>
    <x v="7"/>
    <s v="Shipped"/>
    <n v="4"/>
    <n v="11"/>
    <x v="4"/>
    <x v="2"/>
    <x v="1"/>
    <n v="79"/>
    <s v="S12_3990"/>
    <s v="Anna's Decorations, Ltd"/>
    <s v="02 9936 8555"/>
    <s v="201 Miller Street"/>
    <s v="Level 15"/>
    <x v="2"/>
    <x v="1"/>
    <s v="2060"/>
    <s v="Australia"/>
    <x v="0"/>
    <x v="2"/>
    <x v="2"/>
    <s v="Small"/>
  </r>
  <r>
    <n v="10270"/>
    <x v="15"/>
    <n v="96.84"/>
    <n v="8"/>
    <x v="20"/>
    <x v="1"/>
    <s v="Shipped"/>
    <n v="3"/>
    <n v="7"/>
    <x v="1"/>
    <x v="0"/>
    <x v="2"/>
    <n v="116"/>
    <s v="S18_1097"/>
    <s v="Souveniers And Things Co."/>
    <s v="+61 2 9495 8555"/>
    <s v="Monitor Money Building, 815 Pacific Hwy"/>
    <s v="Level 6"/>
    <x v="1"/>
    <x v="1"/>
    <s v="2067"/>
    <s v="Australia"/>
    <x v="0"/>
    <x v="1"/>
    <x v="1"/>
    <s v="Medium"/>
  </r>
  <r>
    <n v="10347"/>
    <x v="16"/>
    <n v="49.6"/>
    <n v="5"/>
    <x v="21"/>
    <x v="2"/>
    <s v="Shipped"/>
    <n v="4"/>
    <n v="11"/>
    <x v="2"/>
    <x v="0"/>
    <x v="2"/>
    <n v="116"/>
    <s v="S18_1097"/>
    <s v="Australian Collectors, Co."/>
    <s v="03 9520 4555"/>
    <s v="636 St Kilda Road"/>
    <s v="Level 3"/>
    <x v="0"/>
    <x v="0"/>
    <s v="3004"/>
    <s v="Australia"/>
    <x v="0"/>
    <x v="0"/>
    <x v="0"/>
    <s v="Small"/>
  </r>
  <r>
    <n v="10370"/>
    <x v="10"/>
    <n v="100"/>
    <n v="1"/>
    <x v="22"/>
    <x v="6"/>
    <s v="Shipped"/>
    <n v="1"/>
    <n v="1"/>
    <x v="5"/>
    <x v="1"/>
    <x v="2"/>
    <n v="116"/>
    <s v="S18_1097"/>
    <s v="Anna's Decorations, Ltd"/>
    <s v="02 9936 8555"/>
    <s v="201 Miller Street"/>
    <s v="Level 15"/>
    <x v="2"/>
    <x v="1"/>
    <s v="2060"/>
    <s v="Australia"/>
    <x v="0"/>
    <x v="2"/>
    <x v="2"/>
    <s v="Medium"/>
  </r>
  <r>
    <n v="10391"/>
    <x v="4"/>
    <n v="85.1"/>
    <n v="10"/>
    <x v="23"/>
    <x v="3"/>
    <s v="Shipped"/>
    <n v="1"/>
    <n v="3"/>
    <x v="0"/>
    <x v="1"/>
    <x v="2"/>
    <n v="116"/>
    <s v="S18_1097"/>
    <s v="Anna's Decorations, Ltd"/>
    <s v="02 9936 8555"/>
    <s v="201 Miller Street"/>
    <s v="Level 15"/>
    <x v="2"/>
    <x v="1"/>
    <s v="2060"/>
    <s v="Australia"/>
    <x v="0"/>
    <x v="2"/>
    <x v="2"/>
    <s v="Small"/>
  </r>
  <r>
    <n v="10148"/>
    <x v="17"/>
    <n v="100"/>
    <n v="13"/>
    <x v="24"/>
    <x v="8"/>
    <s v="Shipped"/>
    <n v="3"/>
    <n v="9"/>
    <x v="6"/>
    <x v="2"/>
    <x v="1"/>
    <n v="141"/>
    <s v="S18_1129"/>
    <s v="Anna's Decorations, Ltd"/>
    <s v="02 9936 8555"/>
    <s v="201 Miller Street"/>
    <s v="Level 15"/>
    <x v="2"/>
    <x v="1"/>
    <s v="2060"/>
    <s v="Australia"/>
    <x v="0"/>
    <x v="2"/>
    <x v="2"/>
    <s v="Small"/>
  </r>
  <r>
    <n v="10342"/>
    <x v="18"/>
    <n v="100"/>
    <n v="2"/>
    <x v="25"/>
    <x v="9"/>
    <s v="Shipped"/>
    <n v="4"/>
    <n v="11"/>
    <x v="1"/>
    <x v="0"/>
    <x v="1"/>
    <n v="141"/>
    <s v="S18_1129"/>
    <s v="Australian Collectors, Co."/>
    <s v="03 9520 4555"/>
    <s v="636 St Kilda Road"/>
    <s v="Level 3"/>
    <x v="0"/>
    <x v="0"/>
    <s v="3004"/>
    <s v="Australia"/>
    <x v="0"/>
    <x v="0"/>
    <x v="0"/>
    <s v="Medium"/>
  </r>
  <r>
    <n v="10125"/>
    <x v="9"/>
    <n v="100"/>
    <n v="1"/>
    <x v="26"/>
    <x v="10"/>
    <s v="Shipped"/>
    <n v="2"/>
    <n v="5"/>
    <x v="7"/>
    <x v="2"/>
    <x v="3"/>
    <n v="102"/>
    <s v="S18_1342"/>
    <s v="Australian Collectors, Co."/>
    <s v="03 9520 4555"/>
    <s v="636 St Kilda Road"/>
    <s v="Level 3"/>
    <x v="0"/>
    <x v="0"/>
    <s v="3004"/>
    <s v="Australia"/>
    <x v="0"/>
    <x v="0"/>
    <x v="0"/>
    <s v="Medium"/>
  </r>
  <r>
    <n v="10139"/>
    <x v="19"/>
    <n v="100"/>
    <n v="7"/>
    <x v="27"/>
    <x v="11"/>
    <s v="Shipped"/>
    <n v="3"/>
    <n v="7"/>
    <x v="0"/>
    <x v="2"/>
    <x v="3"/>
    <n v="102"/>
    <s v="S18_1342"/>
    <s v="Souveniers And Things Co."/>
    <s v="+61 2 9495 8555"/>
    <s v="Monitor Money Building, 815 Pacific Hwy"/>
    <s v="Level 6"/>
    <x v="1"/>
    <x v="1"/>
    <s v="2067"/>
    <s v="Australia"/>
    <x v="0"/>
    <x v="1"/>
    <x v="1"/>
    <s v="Medium"/>
  </r>
  <r>
    <n v="10391"/>
    <x v="11"/>
    <n v="100"/>
    <n v="2"/>
    <x v="28"/>
    <x v="3"/>
    <s v="Shipped"/>
    <n v="1"/>
    <n v="3"/>
    <x v="0"/>
    <x v="1"/>
    <x v="3"/>
    <n v="102"/>
    <s v="S18_1342"/>
    <s v="Anna's Decorations, Ltd"/>
    <s v="02 9936 8555"/>
    <s v="201 Miller Street"/>
    <s v="Level 15"/>
    <x v="2"/>
    <x v="1"/>
    <s v="2060"/>
    <s v="Australia"/>
    <x v="0"/>
    <x v="2"/>
    <x v="2"/>
    <s v="Medium"/>
  </r>
  <r>
    <n v="10139"/>
    <x v="8"/>
    <n v="43.13"/>
    <n v="6"/>
    <x v="29"/>
    <x v="11"/>
    <s v="Shipped"/>
    <n v="3"/>
    <n v="7"/>
    <x v="0"/>
    <x v="2"/>
    <x v="3"/>
    <n v="53"/>
    <s v="S18_1367"/>
    <s v="Souveniers And Things Co."/>
    <s v="+61 2 9495 8555"/>
    <s v="Monitor Money Building, 815 Pacific Hwy"/>
    <s v="Level 6"/>
    <x v="1"/>
    <x v="1"/>
    <s v="2067"/>
    <s v="Australia"/>
    <x v="0"/>
    <x v="1"/>
    <x v="1"/>
    <s v="Small"/>
  </r>
  <r>
    <n v="10347"/>
    <x v="1"/>
    <n v="58.95"/>
    <n v="7"/>
    <x v="30"/>
    <x v="2"/>
    <s v="Shipped"/>
    <n v="4"/>
    <n v="11"/>
    <x v="2"/>
    <x v="0"/>
    <x v="3"/>
    <n v="53"/>
    <s v="S18_1367"/>
    <s v="Australian Collectors, Co."/>
    <s v="03 9520 4555"/>
    <s v="636 St Kilda Road"/>
    <s v="Level 3"/>
    <x v="0"/>
    <x v="0"/>
    <s v="3004"/>
    <s v="Australia"/>
    <x v="0"/>
    <x v="0"/>
    <x v="0"/>
    <s v="Small"/>
  </r>
  <r>
    <n v="10391"/>
    <x v="16"/>
    <n v="100"/>
    <n v="3"/>
    <x v="31"/>
    <x v="3"/>
    <s v="Shipped"/>
    <n v="1"/>
    <n v="3"/>
    <x v="0"/>
    <x v="1"/>
    <x v="3"/>
    <n v="53"/>
    <s v="S18_1367"/>
    <s v="Anna's Decorations, Ltd"/>
    <s v="02 9936 8555"/>
    <s v="201 Miller Street"/>
    <s v="Level 15"/>
    <x v="2"/>
    <x v="1"/>
    <s v="2060"/>
    <s v="Australia"/>
    <x v="0"/>
    <x v="2"/>
    <x v="2"/>
    <s v="Medium"/>
  </r>
  <r>
    <n v="10148"/>
    <x v="5"/>
    <n v="100"/>
    <n v="9"/>
    <x v="32"/>
    <x v="8"/>
    <s v="Shipped"/>
    <n v="3"/>
    <n v="9"/>
    <x v="6"/>
    <x v="2"/>
    <x v="1"/>
    <n v="124"/>
    <s v="S18_1589"/>
    <s v="Anna's Decorations, Ltd"/>
    <s v="02 9936 8555"/>
    <s v="201 Miller Street"/>
    <s v="Level 15"/>
    <x v="2"/>
    <x v="1"/>
    <s v="2060"/>
    <s v="Australia"/>
    <x v="0"/>
    <x v="2"/>
    <x v="2"/>
    <s v="Medium"/>
  </r>
  <r>
    <n v="10420"/>
    <x v="0"/>
    <n v="100"/>
    <n v="5"/>
    <x v="33"/>
    <x v="12"/>
    <s v="In Process"/>
    <n v="2"/>
    <n v="5"/>
    <x v="3"/>
    <x v="1"/>
    <x v="3"/>
    <n v="170"/>
    <s v="S18_1749"/>
    <s v="Souveniers And Things Co."/>
    <s v="+61 2 9495 8555"/>
    <s v="Monitor Money Building, 815 Pacific Hwy"/>
    <s v="Level 6"/>
    <x v="1"/>
    <x v="1"/>
    <s v="2067"/>
    <s v="Australia"/>
    <x v="0"/>
    <x v="1"/>
    <x v="1"/>
    <s v="Medium"/>
  </r>
  <r>
    <n v="10342"/>
    <x v="20"/>
    <n v="65.45"/>
    <n v="1"/>
    <x v="34"/>
    <x v="9"/>
    <s v="Shipped"/>
    <n v="4"/>
    <n v="11"/>
    <x v="1"/>
    <x v="0"/>
    <x v="1"/>
    <n v="77"/>
    <s v="S18_1889"/>
    <s v="Australian Collectors, Co."/>
    <s v="03 9520 4555"/>
    <s v="636 St Kilda Road"/>
    <s v="Level 3"/>
    <x v="0"/>
    <x v="0"/>
    <s v="3004"/>
    <s v="Australia"/>
    <x v="0"/>
    <x v="0"/>
    <x v="0"/>
    <s v="Medium"/>
  </r>
  <r>
    <n v="10148"/>
    <x v="21"/>
    <n v="100"/>
    <n v="12"/>
    <x v="35"/>
    <x v="8"/>
    <s v="Shipped"/>
    <n v="3"/>
    <n v="9"/>
    <x v="6"/>
    <x v="2"/>
    <x v="1"/>
    <n v="142"/>
    <s v="S18_1984"/>
    <s v="Anna's Decorations, Ltd"/>
    <s v="02 9936 8555"/>
    <s v="201 Miller Street"/>
    <s v="Level 15"/>
    <x v="2"/>
    <x v="1"/>
    <s v="2060"/>
    <s v="Australia"/>
    <x v="0"/>
    <x v="2"/>
    <x v="2"/>
    <s v="Medium"/>
  </r>
  <r>
    <n v="10342"/>
    <x v="22"/>
    <n v="100"/>
    <n v="3"/>
    <x v="36"/>
    <x v="9"/>
    <s v="Shipped"/>
    <n v="4"/>
    <n v="11"/>
    <x v="1"/>
    <x v="0"/>
    <x v="1"/>
    <n v="142"/>
    <s v="S18_1984"/>
    <s v="Australian Collectors, Co."/>
    <s v="03 9520 4555"/>
    <s v="636 St Kilda Road"/>
    <s v="Level 3"/>
    <x v="0"/>
    <x v="0"/>
    <s v="3004"/>
    <s v="Australia"/>
    <x v="0"/>
    <x v="0"/>
    <x v="0"/>
    <s v="Medium"/>
  </r>
  <r>
    <n v="10420"/>
    <x v="14"/>
    <n v="63.57"/>
    <n v="4"/>
    <x v="37"/>
    <x v="12"/>
    <s v="In Process"/>
    <n v="2"/>
    <n v="5"/>
    <x v="3"/>
    <x v="1"/>
    <x v="3"/>
    <n v="60"/>
    <s v="S18_2248"/>
    <s v="Souveniers And Things Co."/>
    <s v="+61 2 9495 8555"/>
    <s v="Monitor Money Building, 815 Pacific Hwy"/>
    <s v="Level 6"/>
    <x v="1"/>
    <x v="1"/>
    <s v="2067"/>
    <s v="Australia"/>
    <x v="0"/>
    <x v="1"/>
    <x v="1"/>
    <s v="Small"/>
  </r>
  <r>
    <n v="10370"/>
    <x v="22"/>
    <n v="100"/>
    <n v="5"/>
    <x v="38"/>
    <x v="6"/>
    <s v="Shipped"/>
    <n v="1"/>
    <n v="1"/>
    <x v="5"/>
    <x v="1"/>
    <x v="2"/>
    <n v="122"/>
    <s v="S18_2319"/>
    <s v="Anna's Decorations, Ltd"/>
    <s v="02 9936 8555"/>
    <s v="201 Miller Street"/>
    <s v="Level 15"/>
    <x v="2"/>
    <x v="1"/>
    <s v="2060"/>
    <s v="Australia"/>
    <x v="0"/>
    <x v="2"/>
    <x v="2"/>
    <s v="Medium"/>
  </r>
  <r>
    <n v="10420"/>
    <x v="23"/>
    <n v="100"/>
    <n v="2"/>
    <x v="39"/>
    <x v="12"/>
    <s v="In Process"/>
    <n v="2"/>
    <n v="5"/>
    <x v="3"/>
    <x v="1"/>
    <x v="3"/>
    <n v="127"/>
    <s v="S18_2325"/>
    <s v="Souveniers And Things Co."/>
    <s v="+61 2 9495 8555"/>
    <s v="Monitor Money Building, 815 Pacific Hwy"/>
    <s v="Level 6"/>
    <x v="1"/>
    <x v="1"/>
    <s v="2067"/>
    <s v="Australia"/>
    <x v="0"/>
    <x v="1"/>
    <x v="1"/>
    <s v="Medium"/>
  </r>
  <r>
    <n v="10347"/>
    <x v="24"/>
    <n v="100"/>
    <n v="8"/>
    <x v="40"/>
    <x v="2"/>
    <s v="Shipped"/>
    <n v="4"/>
    <n v="11"/>
    <x v="2"/>
    <x v="0"/>
    <x v="2"/>
    <n v="60"/>
    <s v="S18_2432"/>
    <s v="Australian Collectors, Co."/>
    <s v="03 9520 4555"/>
    <s v="636 St Kilda Road"/>
    <s v="Level 3"/>
    <x v="0"/>
    <x v="0"/>
    <s v="3004"/>
    <s v="Australia"/>
    <x v="0"/>
    <x v="0"/>
    <x v="0"/>
    <s v="Medium"/>
  </r>
  <r>
    <n v="10370"/>
    <x v="22"/>
    <n v="96.86"/>
    <n v="7"/>
    <x v="41"/>
    <x v="6"/>
    <s v="Shipped"/>
    <n v="1"/>
    <n v="1"/>
    <x v="5"/>
    <x v="1"/>
    <x v="2"/>
    <n v="60"/>
    <s v="S18_2432"/>
    <s v="Anna's Decorations, Ltd"/>
    <s v="02 9936 8555"/>
    <s v="201 Miller Street"/>
    <s v="Level 15"/>
    <x v="2"/>
    <x v="1"/>
    <s v="2060"/>
    <s v="Australia"/>
    <x v="0"/>
    <x v="2"/>
    <x v="2"/>
    <s v="Small"/>
  </r>
  <r>
    <n v="10391"/>
    <x v="25"/>
    <n v="38.5"/>
    <n v="5"/>
    <x v="42"/>
    <x v="3"/>
    <s v="Shipped"/>
    <n v="1"/>
    <n v="3"/>
    <x v="0"/>
    <x v="1"/>
    <x v="2"/>
    <n v="60"/>
    <s v="S18_2432"/>
    <s v="Anna's Decorations, Ltd"/>
    <s v="02 9936 8555"/>
    <s v="201 Miller Street"/>
    <s v="Level 15"/>
    <x v="2"/>
    <x v="1"/>
    <s v="2060"/>
    <s v="Australia"/>
    <x v="0"/>
    <x v="2"/>
    <x v="2"/>
    <s v="Small"/>
  </r>
  <r>
    <n v="10120"/>
    <x v="4"/>
    <n v="71.81"/>
    <n v="8"/>
    <x v="43"/>
    <x v="4"/>
    <s v="Shipped"/>
    <n v="2"/>
    <n v="4"/>
    <x v="3"/>
    <x v="2"/>
    <x v="4"/>
    <n v="84"/>
    <s v="S18_2581"/>
    <s v="Australian Collectors, Co."/>
    <s v="03 9520 4555"/>
    <s v="636 St Kilda Road"/>
    <s v="Level 3"/>
    <x v="0"/>
    <x v="0"/>
    <s v="3004"/>
    <s v="Australia"/>
    <x v="0"/>
    <x v="0"/>
    <x v="0"/>
    <s v="Small"/>
  </r>
  <r>
    <n v="10223"/>
    <x v="5"/>
    <n v="100"/>
    <n v="9"/>
    <x v="44"/>
    <x v="0"/>
    <s v="Shipped"/>
    <n v="1"/>
    <n v="2"/>
    <x v="0"/>
    <x v="0"/>
    <x v="4"/>
    <n v="84"/>
    <s v="S18_2581"/>
    <s v="Australian Collectors, Co."/>
    <s v="03 9520 4555"/>
    <s v="636 St Kilda Road"/>
    <s v="Level 3"/>
    <x v="0"/>
    <x v="0"/>
    <s v="3004"/>
    <s v="Australia"/>
    <x v="0"/>
    <x v="0"/>
    <x v="0"/>
    <s v="Medium"/>
  </r>
  <r>
    <n v="10120"/>
    <x v="7"/>
    <n v="58.15"/>
    <n v="4"/>
    <x v="45"/>
    <x v="4"/>
    <s v="Shipped"/>
    <n v="2"/>
    <n v="4"/>
    <x v="3"/>
    <x v="2"/>
    <x v="0"/>
    <n v="60"/>
    <s v="S18_2625"/>
    <s v="Australian Collectors, Co."/>
    <s v="03 9520 4555"/>
    <s v="636 St Kilda Road"/>
    <s v="Level 3"/>
    <x v="0"/>
    <x v="0"/>
    <s v="3004"/>
    <s v="Australia"/>
    <x v="0"/>
    <x v="0"/>
    <x v="0"/>
    <s v="Small"/>
  </r>
  <r>
    <n v="10223"/>
    <x v="12"/>
    <n v="60.57"/>
    <n v="5"/>
    <x v="46"/>
    <x v="0"/>
    <s v="Shipped"/>
    <n v="1"/>
    <n v="2"/>
    <x v="0"/>
    <x v="0"/>
    <x v="0"/>
    <n v="60"/>
    <s v="S18_2625"/>
    <s v="Australian Collectors, Co."/>
    <s v="03 9520 4555"/>
    <s v="636 St Kilda Road"/>
    <s v="Level 3"/>
    <x v="0"/>
    <x v="0"/>
    <s v="3004"/>
    <s v="Australia"/>
    <x v="0"/>
    <x v="0"/>
    <x v="0"/>
    <s v="Small"/>
  </r>
  <r>
    <n v="10125"/>
    <x v="26"/>
    <n v="100"/>
    <n v="2"/>
    <x v="47"/>
    <x v="10"/>
    <s v="Shipped"/>
    <n v="2"/>
    <n v="5"/>
    <x v="7"/>
    <x v="2"/>
    <x v="3"/>
    <n v="168"/>
    <s v="S18_2795"/>
    <s v="Australian Collectors, Co."/>
    <s v="03 9520 4555"/>
    <s v="636 St Kilda Road"/>
    <s v="Level 3"/>
    <x v="0"/>
    <x v="0"/>
    <s v="3004"/>
    <s v="Australia"/>
    <x v="0"/>
    <x v="0"/>
    <x v="0"/>
    <s v="Medium"/>
  </r>
  <r>
    <n v="10139"/>
    <x v="27"/>
    <n v="100"/>
    <n v="8"/>
    <x v="48"/>
    <x v="11"/>
    <s v="Shipped"/>
    <n v="3"/>
    <n v="7"/>
    <x v="0"/>
    <x v="2"/>
    <x v="3"/>
    <n v="168"/>
    <s v="S18_2795"/>
    <s v="Souveniers And Things Co."/>
    <s v="+61 2 9495 8555"/>
    <s v="Monitor Money Building, 815 Pacific Hwy"/>
    <s v="Level 6"/>
    <x v="1"/>
    <x v="1"/>
    <s v="2067"/>
    <s v="Australia"/>
    <x v="0"/>
    <x v="1"/>
    <x v="1"/>
    <s v="Large"/>
  </r>
  <r>
    <n v="10347"/>
    <x v="1"/>
    <n v="100"/>
    <n v="6"/>
    <x v="49"/>
    <x v="2"/>
    <s v="Shipped"/>
    <n v="4"/>
    <n v="11"/>
    <x v="2"/>
    <x v="0"/>
    <x v="3"/>
    <n v="168"/>
    <s v="S18_2795"/>
    <s v="Australian Collectors, Co."/>
    <s v="03 9520 4555"/>
    <s v="636 St Kilda Road"/>
    <s v="Level 3"/>
    <x v="0"/>
    <x v="0"/>
    <s v="3004"/>
    <s v="Australia"/>
    <x v="0"/>
    <x v="0"/>
    <x v="0"/>
    <s v="Medium"/>
  </r>
  <r>
    <n v="10148"/>
    <x v="10"/>
    <n v="100"/>
    <n v="10"/>
    <x v="50"/>
    <x v="8"/>
    <s v="Shipped"/>
    <n v="3"/>
    <n v="9"/>
    <x v="6"/>
    <x v="2"/>
    <x v="1"/>
    <n v="132"/>
    <s v="S18_2870"/>
    <s v="Anna's Decorations, Ltd"/>
    <s v="02 9936 8555"/>
    <s v="201 Miller Street"/>
    <s v="Level 15"/>
    <x v="2"/>
    <x v="1"/>
    <s v="2060"/>
    <s v="Australia"/>
    <x v="0"/>
    <x v="2"/>
    <x v="2"/>
    <s v="Medium"/>
  </r>
  <r>
    <n v="10139"/>
    <x v="7"/>
    <n v="100"/>
    <n v="1"/>
    <x v="51"/>
    <x v="11"/>
    <s v="Shipped"/>
    <n v="3"/>
    <n v="7"/>
    <x v="0"/>
    <x v="2"/>
    <x v="3"/>
    <n v="101"/>
    <s v="S18_2949"/>
    <s v="Souveniers And Things Co."/>
    <s v="+61 2 9495 8555"/>
    <s v="Monitor Money Building, 815 Pacific Hwy"/>
    <s v="Level 6"/>
    <x v="1"/>
    <x v="1"/>
    <s v="2067"/>
    <s v="Australia"/>
    <x v="0"/>
    <x v="1"/>
    <x v="1"/>
    <s v="Medium"/>
  </r>
  <r>
    <n v="10270"/>
    <x v="19"/>
    <n v="96.24"/>
    <n v="10"/>
    <x v="52"/>
    <x v="1"/>
    <s v="Shipped"/>
    <n v="3"/>
    <n v="7"/>
    <x v="1"/>
    <x v="0"/>
    <x v="3"/>
    <n v="101"/>
    <s v="S18_2949"/>
    <s v="Souveniers And Things Co."/>
    <s v="+61 2 9495 8555"/>
    <s v="Monitor Money Building, 815 Pacific Hwy"/>
    <s v="Level 6"/>
    <x v="1"/>
    <x v="1"/>
    <s v="2067"/>
    <s v="Australia"/>
    <x v="0"/>
    <x v="1"/>
    <x v="1"/>
    <s v="Small"/>
  </r>
  <r>
    <n v="10347"/>
    <x v="28"/>
    <n v="100"/>
    <n v="9"/>
    <x v="53"/>
    <x v="2"/>
    <s v="Shipped"/>
    <n v="4"/>
    <n v="11"/>
    <x v="2"/>
    <x v="0"/>
    <x v="3"/>
    <n v="101"/>
    <s v="S18_2949"/>
    <s v="Australian Collectors, Co."/>
    <s v="03 9520 4555"/>
    <s v="636 St Kilda Road"/>
    <s v="Level 3"/>
    <x v="0"/>
    <x v="0"/>
    <s v="3004"/>
    <s v="Australia"/>
    <x v="0"/>
    <x v="0"/>
    <x v="0"/>
    <s v="Medium"/>
  </r>
  <r>
    <n v="10391"/>
    <x v="9"/>
    <n v="45.25"/>
    <n v="6"/>
    <x v="54"/>
    <x v="3"/>
    <s v="Shipped"/>
    <n v="1"/>
    <n v="3"/>
    <x v="0"/>
    <x v="1"/>
    <x v="3"/>
    <n v="101"/>
    <s v="S18_2949"/>
    <s v="Anna's Decorations, Ltd"/>
    <s v="02 9936 8555"/>
    <s v="201 Miller Street"/>
    <s v="Level 15"/>
    <x v="2"/>
    <x v="1"/>
    <s v="2060"/>
    <s v="Australia"/>
    <x v="0"/>
    <x v="2"/>
    <x v="2"/>
    <s v="Small"/>
  </r>
  <r>
    <n v="10139"/>
    <x v="29"/>
    <n v="71.2"/>
    <n v="3"/>
    <x v="55"/>
    <x v="11"/>
    <s v="Shipped"/>
    <n v="3"/>
    <n v="7"/>
    <x v="0"/>
    <x v="2"/>
    <x v="3"/>
    <n v="62"/>
    <s v="S18_2957"/>
    <s v="Souveniers And Things Co."/>
    <s v="+61 2 9495 8555"/>
    <s v="Monitor Money Building, 815 Pacific Hwy"/>
    <s v="Level 6"/>
    <x v="1"/>
    <x v="1"/>
    <s v="2067"/>
    <s v="Australia"/>
    <x v="0"/>
    <x v="1"/>
    <x v="1"/>
    <s v="Small"/>
  </r>
  <r>
    <n v="10347"/>
    <x v="26"/>
    <n v="64.959999999999994"/>
    <n v="10"/>
    <x v="56"/>
    <x v="2"/>
    <s v="Shipped"/>
    <n v="4"/>
    <n v="11"/>
    <x v="2"/>
    <x v="0"/>
    <x v="3"/>
    <n v="62"/>
    <s v="S18_2957"/>
    <s v="Australian Collectors, Co."/>
    <s v="03 9520 4555"/>
    <s v="636 St Kilda Road"/>
    <s v="Level 3"/>
    <x v="0"/>
    <x v="0"/>
    <s v="3004"/>
    <s v="Australia"/>
    <x v="0"/>
    <x v="0"/>
    <x v="0"/>
    <s v="Small"/>
  </r>
  <r>
    <n v="10139"/>
    <x v="29"/>
    <n v="90.06"/>
    <n v="2"/>
    <x v="57"/>
    <x v="11"/>
    <s v="Shipped"/>
    <n v="3"/>
    <n v="7"/>
    <x v="0"/>
    <x v="2"/>
    <x v="3"/>
    <n v="104"/>
    <s v="S18_3136"/>
    <s v="Souveniers And Things Co."/>
    <s v="+61 2 9495 8555"/>
    <s v="Monitor Money Building, 815 Pacific Hwy"/>
    <s v="Level 6"/>
    <x v="1"/>
    <x v="1"/>
    <s v="2067"/>
    <s v="Australia"/>
    <x v="0"/>
    <x v="1"/>
    <x v="1"/>
    <s v="Small"/>
  </r>
  <r>
    <n v="10270"/>
    <x v="30"/>
    <n v="100"/>
    <n v="11"/>
    <x v="58"/>
    <x v="1"/>
    <s v="Shipped"/>
    <n v="3"/>
    <n v="7"/>
    <x v="1"/>
    <x v="0"/>
    <x v="3"/>
    <n v="104"/>
    <s v="S18_3136"/>
    <s v="Souveniers And Things Co."/>
    <s v="+61 2 9495 8555"/>
    <s v="Monitor Money Building, 815 Pacific Hwy"/>
    <s v="Level 6"/>
    <x v="1"/>
    <x v="1"/>
    <s v="2067"/>
    <s v="Australia"/>
    <x v="0"/>
    <x v="1"/>
    <x v="1"/>
    <s v="Medium"/>
  </r>
  <r>
    <n v="10347"/>
    <x v="23"/>
    <n v="100"/>
    <n v="11"/>
    <x v="59"/>
    <x v="2"/>
    <s v="Shipped"/>
    <n v="4"/>
    <n v="11"/>
    <x v="2"/>
    <x v="0"/>
    <x v="3"/>
    <n v="104"/>
    <s v="S18_3136"/>
    <s v="Australian Collectors, Co."/>
    <s v="03 9520 4555"/>
    <s v="636 St Kilda Road"/>
    <s v="Level 3"/>
    <x v="0"/>
    <x v="0"/>
    <s v="3004"/>
    <s v="Australia"/>
    <x v="0"/>
    <x v="0"/>
    <x v="0"/>
    <s v="Medium"/>
  </r>
  <r>
    <n v="10148"/>
    <x v="9"/>
    <n v="100"/>
    <n v="14"/>
    <x v="60"/>
    <x v="8"/>
    <s v="Shipped"/>
    <n v="3"/>
    <n v="9"/>
    <x v="6"/>
    <x v="2"/>
    <x v="1"/>
    <n v="169"/>
    <s v="S18_3232"/>
    <s v="Anna's Decorations, Ltd"/>
    <s v="02 9936 8555"/>
    <s v="201 Miller Street"/>
    <s v="Level 15"/>
    <x v="2"/>
    <x v="1"/>
    <s v="2060"/>
    <s v="Australia"/>
    <x v="0"/>
    <x v="2"/>
    <x v="2"/>
    <s v="Medium"/>
  </r>
  <r>
    <n v="10342"/>
    <x v="2"/>
    <n v="100"/>
    <n v="4"/>
    <x v="61"/>
    <x v="9"/>
    <s v="Shipped"/>
    <n v="4"/>
    <n v="11"/>
    <x v="1"/>
    <x v="0"/>
    <x v="1"/>
    <n v="169"/>
    <s v="S18_3232"/>
    <s v="Australian Collectors, Co."/>
    <s v="03 9520 4555"/>
    <s v="636 St Kilda Road"/>
    <s v="Level 3"/>
    <x v="0"/>
    <x v="0"/>
    <s v="3004"/>
    <s v="Australia"/>
    <x v="0"/>
    <x v="0"/>
    <x v="0"/>
    <s v="Medium"/>
  </r>
  <r>
    <n v="10370"/>
    <x v="10"/>
    <n v="56.85"/>
    <n v="9"/>
    <x v="62"/>
    <x v="6"/>
    <s v="Shipped"/>
    <n v="1"/>
    <n v="1"/>
    <x v="5"/>
    <x v="1"/>
    <x v="1"/>
    <n v="169"/>
    <s v="S18_3232"/>
    <s v="Anna's Decorations, Ltd"/>
    <s v="02 9936 8555"/>
    <s v="201 Miller Street"/>
    <s v="Level 15"/>
    <x v="2"/>
    <x v="1"/>
    <s v="2060"/>
    <s v="Australia"/>
    <x v="0"/>
    <x v="2"/>
    <x v="2"/>
    <s v="Small"/>
  </r>
  <r>
    <n v="10169"/>
    <x v="9"/>
    <n v="70.760000000000005"/>
    <n v="5"/>
    <x v="63"/>
    <x v="7"/>
    <s v="Shipped"/>
    <n v="4"/>
    <n v="11"/>
    <x v="4"/>
    <x v="2"/>
    <x v="1"/>
    <n v="80"/>
    <s v="S18_3278"/>
    <s v="Anna's Decorations, Ltd"/>
    <s v="02 9936 8555"/>
    <s v="201 Miller Street"/>
    <s v="Level 15"/>
    <x v="2"/>
    <x v="1"/>
    <s v="2060"/>
    <s v="Australia"/>
    <x v="0"/>
    <x v="2"/>
    <x v="2"/>
    <s v="Small"/>
  </r>
  <r>
    <n v="10342"/>
    <x v="21"/>
    <n v="66.739999999999995"/>
    <n v="5"/>
    <x v="64"/>
    <x v="9"/>
    <s v="Shipped"/>
    <n v="4"/>
    <n v="11"/>
    <x v="1"/>
    <x v="0"/>
    <x v="1"/>
    <n v="80"/>
    <s v="S18_3278"/>
    <s v="Australian Collectors, Co."/>
    <s v="03 9520 4555"/>
    <s v="636 St Kilda Road"/>
    <s v="Level 3"/>
    <x v="0"/>
    <x v="0"/>
    <s v="3004"/>
    <s v="Australia"/>
    <x v="0"/>
    <x v="0"/>
    <x v="0"/>
    <s v="Small"/>
  </r>
  <r>
    <n v="10139"/>
    <x v="2"/>
    <n v="100"/>
    <n v="5"/>
    <x v="65"/>
    <x v="11"/>
    <s v="Shipped"/>
    <n v="3"/>
    <n v="7"/>
    <x v="0"/>
    <x v="2"/>
    <x v="3"/>
    <n v="99"/>
    <s v="S18_3320"/>
    <s v="Souveniers And Things Co."/>
    <s v="+61 2 9495 8555"/>
    <s v="Monitor Money Building, 815 Pacific Hwy"/>
    <s v="Level 6"/>
    <x v="1"/>
    <x v="1"/>
    <s v="2067"/>
    <s v="Australia"/>
    <x v="0"/>
    <x v="1"/>
    <x v="1"/>
    <s v="Medium"/>
  </r>
  <r>
    <n v="10347"/>
    <x v="6"/>
    <n v="100"/>
    <n v="12"/>
    <x v="66"/>
    <x v="2"/>
    <s v="Shipped"/>
    <n v="4"/>
    <n v="11"/>
    <x v="2"/>
    <x v="0"/>
    <x v="3"/>
    <n v="99"/>
    <s v="S18_3320"/>
    <s v="Australian Collectors, Co."/>
    <s v="03 9520 4555"/>
    <s v="636 St Kilda Road"/>
    <s v="Level 3"/>
    <x v="0"/>
    <x v="0"/>
    <s v="3004"/>
    <s v="Australia"/>
    <x v="0"/>
    <x v="0"/>
    <x v="0"/>
    <s v="Small"/>
  </r>
  <r>
    <n v="10169"/>
    <x v="14"/>
    <n v="100"/>
    <n v="4"/>
    <x v="67"/>
    <x v="7"/>
    <s v="Shipped"/>
    <n v="4"/>
    <n v="11"/>
    <x v="4"/>
    <x v="2"/>
    <x v="1"/>
    <n v="146"/>
    <s v="S18_3482"/>
    <s v="Anna's Decorations, Ltd"/>
    <s v="02 9936 8555"/>
    <s v="201 Miller Street"/>
    <s v="Level 15"/>
    <x v="2"/>
    <x v="1"/>
    <s v="2060"/>
    <s v="Australia"/>
    <x v="0"/>
    <x v="2"/>
    <x v="2"/>
    <s v="Medium"/>
  </r>
  <r>
    <n v="10342"/>
    <x v="20"/>
    <n v="100"/>
    <n v="7"/>
    <x v="68"/>
    <x v="9"/>
    <s v="Shipped"/>
    <n v="4"/>
    <n v="11"/>
    <x v="1"/>
    <x v="0"/>
    <x v="1"/>
    <n v="146"/>
    <s v="S18_3482"/>
    <s v="Australian Collectors, Co."/>
    <s v="03 9520 4555"/>
    <s v="636 St Kilda Road"/>
    <s v="Level 3"/>
    <x v="0"/>
    <x v="0"/>
    <s v="3004"/>
    <s v="Australia"/>
    <x v="0"/>
    <x v="0"/>
    <x v="0"/>
    <s v="Medium"/>
  </r>
  <r>
    <n v="10148"/>
    <x v="12"/>
    <n v="100"/>
    <n v="11"/>
    <x v="69"/>
    <x v="8"/>
    <s v="Shipped"/>
    <n v="3"/>
    <n v="9"/>
    <x v="6"/>
    <x v="2"/>
    <x v="1"/>
    <n v="141"/>
    <s v="S18_3685"/>
    <s v="Anna's Decorations, Ltd"/>
    <s v="02 9936 8555"/>
    <s v="201 Miller Street"/>
    <s v="Level 15"/>
    <x v="2"/>
    <x v="1"/>
    <s v="2060"/>
    <s v="Australia"/>
    <x v="0"/>
    <x v="2"/>
    <x v="2"/>
    <s v="Medium"/>
  </r>
  <r>
    <n v="10169"/>
    <x v="30"/>
    <n v="68.39"/>
    <n v="8"/>
    <x v="70"/>
    <x v="7"/>
    <s v="Shipped"/>
    <n v="4"/>
    <n v="11"/>
    <x v="4"/>
    <x v="2"/>
    <x v="0"/>
    <n v="62"/>
    <s v="S18_3782"/>
    <s v="Anna's Decorations, Ltd"/>
    <s v="02 9936 8555"/>
    <s v="201 Miller Street"/>
    <s v="Level 15"/>
    <x v="2"/>
    <x v="1"/>
    <s v="2060"/>
    <s v="Australia"/>
    <x v="0"/>
    <x v="2"/>
    <x v="2"/>
    <s v="Small"/>
  </r>
  <r>
    <n v="10342"/>
    <x v="6"/>
    <n v="55.95"/>
    <n v="8"/>
    <x v="71"/>
    <x v="9"/>
    <s v="Shipped"/>
    <n v="4"/>
    <n v="11"/>
    <x v="1"/>
    <x v="0"/>
    <x v="0"/>
    <n v="62"/>
    <s v="S18_3782"/>
    <s v="Australian Collectors, Co."/>
    <s v="03 9520 4555"/>
    <s v="636 St Kilda Road"/>
    <s v="Level 3"/>
    <x v="0"/>
    <x v="0"/>
    <s v="3004"/>
    <s v="Australia"/>
    <x v="0"/>
    <x v="0"/>
    <x v="0"/>
    <s v="Small"/>
  </r>
  <r>
    <n v="10148"/>
    <x v="26"/>
    <n v="100"/>
    <n v="1"/>
    <x v="72"/>
    <x v="8"/>
    <s v="Shipped"/>
    <n v="3"/>
    <n v="9"/>
    <x v="6"/>
    <x v="2"/>
    <x v="3"/>
    <n v="92"/>
    <s v="S18_4409"/>
    <s v="Anna's Decorations, Ltd"/>
    <s v="02 9936 8555"/>
    <s v="201 Miller Street"/>
    <s v="Level 15"/>
    <x v="2"/>
    <x v="1"/>
    <s v="2060"/>
    <s v="Australia"/>
    <x v="0"/>
    <x v="2"/>
    <x v="2"/>
    <s v="Medium"/>
  </r>
  <r>
    <n v="10420"/>
    <x v="31"/>
    <n v="92.95"/>
    <n v="6"/>
    <x v="73"/>
    <x v="12"/>
    <s v="In Process"/>
    <n v="2"/>
    <n v="5"/>
    <x v="3"/>
    <x v="1"/>
    <x v="3"/>
    <n v="92"/>
    <s v="S18_4409"/>
    <s v="Souveniers And Things Co."/>
    <s v="+61 2 9495 8555"/>
    <s v="Monitor Money Building, 815 Pacific Hwy"/>
    <s v="Level 6"/>
    <x v="1"/>
    <x v="1"/>
    <s v="2067"/>
    <s v="Australia"/>
    <x v="0"/>
    <x v="1"/>
    <x v="1"/>
    <s v="Medium"/>
  </r>
  <r>
    <n v="10270"/>
    <x v="30"/>
    <n v="100"/>
    <n v="3"/>
    <x v="74"/>
    <x v="1"/>
    <s v="Shipped"/>
    <n v="3"/>
    <n v="7"/>
    <x v="1"/>
    <x v="0"/>
    <x v="2"/>
    <n v="121"/>
    <s v="S18_4600"/>
    <s v="Souveniers And Things Co."/>
    <s v="+61 2 9495 8555"/>
    <s v="Monitor Money Building, 815 Pacific Hwy"/>
    <s v="Level 6"/>
    <x v="1"/>
    <x v="1"/>
    <s v="2067"/>
    <s v="Australia"/>
    <x v="0"/>
    <x v="1"/>
    <x v="1"/>
    <s v="Medium"/>
  </r>
  <r>
    <n v="10347"/>
    <x v="23"/>
    <n v="100"/>
    <n v="4"/>
    <x v="75"/>
    <x v="2"/>
    <s v="Shipped"/>
    <n v="4"/>
    <n v="11"/>
    <x v="2"/>
    <x v="0"/>
    <x v="2"/>
    <n v="121"/>
    <s v="S18_4600"/>
    <s v="Australian Collectors, Co."/>
    <s v="03 9520 4555"/>
    <s v="636 St Kilda Road"/>
    <s v="Level 3"/>
    <x v="0"/>
    <x v="0"/>
    <s v="3004"/>
    <s v="Australia"/>
    <x v="0"/>
    <x v="0"/>
    <x v="0"/>
    <s v="Medium"/>
  </r>
  <r>
    <n v="10370"/>
    <x v="4"/>
    <n v="57.53"/>
    <n v="6"/>
    <x v="76"/>
    <x v="6"/>
    <s v="Shipped"/>
    <n v="1"/>
    <n v="1"/>
    <x v="5"/>
    <x v="1"/>
    <x v="2"/>
    <n v="121"/>
    <s v="S18_4600"/>
    <s v="Anna's Decorations, Ltd"/>
    <s v="02 9936 8555"/>
    <s v="201 Miller Street"/>
    <s v="Level 15"/>
    <x v="2"/>
    <x v="1"/>
    <s v="2060"/>
    <s v="Australia"/>
    <x v="0"/>
    <x v="2"/>
    <x v="2"/>
    <s v="Small"/>
  </r>
  <r>
    <n v="10270"/>
    <x v="25"/>
    <n v="58.36"/>
    <n v="7"/>
    <x v="77"/>
    <x v="1"/>
    <s v="Shipped"/>
    <n v="3"/>
    <n v="7"/>
    <x v="1"/>
    <x v="0"/>
    <x v="3"/>
    <n v="50"/>
    <s v="S18_4668"/>
    <s v="Souveniers And Things Co."/>
    <s v="+61 2 9495 8555"/>
    <s v="Monitor Money Building, 815 Pacific Hwy"/>
    <s v="Level 6"/>
    <x v="1"/>
    <x v="1"/>
    <s v="2067"/>
    <s v="Australia"/>
    <x v="0"/>
    <x v="1"/>
    <x v="1"/>
    <s v="Small"/>
  </r>
  <r>
    <n v="10370"/>
    <x v="29"/>
    <n v="100"/>
    <n v="2"/>
    <x v="78"/>
    <x v="6"/>
    <s v="Shipped"/>
    <n v="1"/>
    <n v="1"/>
    <x v="5"/>
    <x v="1"/>
    <x v="3"/>
    <n v="50"/>
    <s v="S18_4668"/>
    <s v="Anna's Decorations, Ltd"/>
    <s v="02 9936 8555"/>
    <s v="201 Miller Street"/>
    <s v="Level 15"/>
    <x v="2"/>
    <x v="1"/>
    <s v="2060"/>
    <s v="Australia"/>
    <x v="0"/>
    <x v="2"/>
    <x v="2"/>
    <s v="Small"/>
  </r>
  <r>
    <n v="10169"/>
    <x v="32"/>
    <n v="100"/>
    <n v="7"/>
    <x v="79"/>
    <x v="7"/>
    <s v="Shipped"/>
    <n v="4"/>
    <n v="11"/>
    <x v="4"/>
    <x v="2"/>
    <x v="1"/>
    <n v="148"/>
    <s v="S18_4721"/>
    <s v="Anna's Decorations, Ltd"/>
    <s v="02 9936 8555"/>
    <s v="201 Miller Street"/>
    <s v="Level 15"/>
    <x v="2"/>
    <x v="1"/>
    <s v="2060"/>
    <s v="Australia"/>
    <x v="0"/>
    <x v="2"/>
    <x v="2"/>
    <s v="Medium"/>
  </r>
  <r>
    <n v="10342"/>
    <x v="30"/>
    <n v="100"/>
    <n v="11"/>
    <x v="80"/>
    <x v="9"/>
    <s v="Shipped"/>
    <n v="4"/>
    <n v="11"/>
    <x v="1"/>
    <x v="0"/>
    <x v="1"/>
    <n v="148"/>
    <s v="S18_4721"/>
    <s v="Australian Collectors, Co."/>
    <s v="03 9520 4555"/>
    <s v="636 St Kilda Road"/>
    <s v="Level 3"/>
    <x v="0"/>
    <x v="0"/>
    <s v="3004"/>
    <s v="Australia"/>
    <x v="0"/>
    <x v="0"/>
    <x v="0"/>
    <s v="Medium"/>
  </r>
  <r>
    <n v="10148"/>
    <x v="4"/>
    <n v="81.25"/>
    <n v="2"/>
    <x v="81"/>
    <x v="8"/>
    <s v="Shipped"/>
    <n v="3"/>
    <n v="9"/>
    <x v="6"/>
    <x v="2"/>
    <x v="1"/>
    <n v="71"/>
    <s v="S18_4933"/>
    <s v="Anna's Decorations, Ltd"/>
    <s v="02 9936 8555"/>
    <s v="201 Miller Street"/>
    <s v="Level 15"/>
    <x v="2"/>
    <x v="1"/>
    <s v="2060"/>
    <s v="Australia"/>
    <x v="0"/>
    <x v="2"/>
    <x v="2"/>
    <s v="Small"/>
  </r>
  <r>
    <n v="10420"/>
    <x v="14"/>
    <n v="57.73"/>
    <n v="7"/>
    <x v="82"/>
    <x v="12"/>
    <s v="In Process"/>
    <n v="2"/>
    <n v="5"/>
    <x v="3"/>
    <x v="1"/>
    <x v="1"/>
    <n v="71"/>
    <s v="S18_4933"/>
    <s v="Souveniers And Things Co."/>
    <s v="+61 2 9495 8555"/>
    <s v="Monitor Money Building, 815 Pacific Hwy"/>
    <s v="Level 6"/>
    <x v="1"/>
    <x v="1"/>
    <s v="2067"/>
    <s v="Australia"/>
    <x v="0"/>
    <x v="1"/>
    <x v="1"/>
    <s v="Small"/>
  </r>
  <r>
    <n v="10148"/>
    <x v="21"/>
    <n v="60.26"/>
    <n v="6"/>
    <x v="83"/>
    <x v="8"/>
    <s v="Shipped"/>
    <n v="3"/>
    <n v="9"/>
    <x v="6"/>
    <x v="2"/>
    <x v="1"/>
    <n v="73"/>
    <s v="S24_1046"/>
    <s v="Anna's Decorations, Ltd"/>
    <s v="02 9936 8555"/>
    <s v="201 Miller Street"/>
    <s v="Level 15"/>
    <x v="2"/>
    <x v="1"/>
    <s v="2060"/>
    <s v="Australia"/>
    <x v="0"/>
    <x v="2"/>
    <x v="2"/>
    <s v="Small"/>
  </r>
  <r>
    <n v="10420"/>
    <x v="33"/>
    <n v="64.67"/>
    <n v="11"/>
    <x v="84"/>
    <x v="12"/>
    <s v="In Process"/>
    <n v="2"/>
    <n v="5"/>
    <x v="3"/>
    <x v="1"/>
    <x v="1"/>
    <n v="73"/>
    <s v="S24_1046"/>
    <s v="Souveniers And Things Co."/>
    <s v="+61 2 9495 8555"/>
    <s v="Monitor Money Building, 815 Pacific Hwy"/>
    <s v="Level 6"/>
    <x v="1"/>
    <x v="1"/>
    <s v="2067"/>
    <s v="Australia"/>
    <x v="0"/>
    <x v="1"/>
    <x v="1"/>
    <s v="Medium"/>
  </r>
  <r>
    <n v="10120"/>
    <x v="11"/>
    <n v="98.05"/>
    <n v="1"/>
    <x v="85"/>
    <x v="4"/>
    <s v="Shipped"/>
    <n v="2"/>
    <n v="4"/>
    <x v="8"/>
    <x v="2"/>
    <x v="0"/>
    <n v="112"/>
    <s v="S24_1578"/>
    <s v="Australian Collectors, Co."/>
    <s v="03 9520 4555"/>
    <s v="636 St Kilda Road"/>
    <s v="Level 3"/>
    <x v="0"/>
    <x v="0"/>
    <s v="3004"/>
    <s v="Australia"/>
    <x v="0"/>
    <x v="0"/>
    <x v="0"/>
    <s v="Medium"/>
  </r>
  <r>
    <n v="10223"/>
    <x v="9"/>
    <n v="91.29"/>
    <n v="2"/>
    <x v="86"/>
    <x v="0"/>
    <s v="Shipped"/>
    <n v="1"/>
    <n v="2"/>
    <x v="0"/>
    <x v="0"/>
    <x v="0"/>
    <n v="112"/>
    <s v="S24_1578"/>
    <s v="Australian Collectors, Co."/>
    <s v="03 9520 4555"/>
    <s v="636 St Kilda Road"/>
    <s v="Level 3"/>
    <x v="0"/>
    <x v="0"/>
    <s v="3004"/>
    <s v="Australia"/>
    <x v="0"/>
    <x v="0"/>
    <x v="0"/>
    <s v="Small"/>
  </r>
  <r>
    <n v="10148"/>
    <x v="5"/>
    <n v="56.85"/>
    <n v="8"/>
    <x v="87"/>
    <x v="8"/>
    <s v="Shipped"/>
    <n v="3"/>
    <n v="9"/>
    <x v="6"/>
    <x v="2"/>
    <x v="1"/>
    <n v="50"/>
    <s v="S24_1628"/>
    <s v="Anna's Decorations, Ltd"/>
    <s v="02 9936 8555"/>
    <s v="201 Miller Street"/>
    <s v="Level 15"/>
    <x v="2"/>
    <x v="1"/>
    <s v="2060"/>
    <s v="Australia"/>
    <x v="0"/>
    <x v="2"/>
    <x v="2"/>
    <s v="Small"/>
  </r>
  <r>
    <n v="10420"/>
    <x v="0"/>
    <n v="60.37"/>
    <n v="13"/>
    <x v="88"/>
    <x v="12"/>
    <s v="In Process"/>
    <n v="2"/>
    <n v="5"/>
    <x v="3"/>
    <x v="1"/>
    <x v="1"/>
    <n v="50"/>
    <s v="S24_1628"/>
    <s v="Souveniers And Things Co."/>
    <s v="+61 2 9495 8555"/>
    <s v="Monitor Money Building, 815 Pacific Hwy"/>
    <s v="Level 6"/>
    <x v="1"/>
    <x v="1"/>
    <s v="2067"/>
    <s v="Australia"/>
    <x v="0"/>
    <x v="1"/>
    <x v="1"/>
    <s v="Small"/>
  </r>
  <r>
    <n v="10120"/>
    <x v="13"/>
    <n v="100"/>
    <n v="10"/>
    <x v="89"/>
    <x v="4"/>
    <s v="Shipped"/>
    <n v="2"/>
    <n v="4"/>
    <x v="3"/>
    <x v="2"/>
    <x v="4"/>
    <n v="109"/>
    <s v="S24_1785"/>
    <s v="Australian Collectors, Co."/>
    <s v="03 9520 4555"/>
    <s v="636 St Kilda Road"/>
    <s v="Level 3"/>
    <x v="0"/>
    <x v="0"/>
    <s v="3004"/>
    <s v="Australia"/>
    <x v="0"/>
    <x v="0"/>
    <x v="0"/>
    <s v="Medium"/>
  </r>
  <r>
    <n v="10223"/>
    <x v="26"/>
    <n v="100"/>
    <n v="11"/>
    <x v="90"/>
    <x v="0"/>
    <s v="Shipped"/>
    <n v="1"/>
    <n v="2"/>
    <x v="0"/>
    <x v="0"/>
    <x v="4"/>
    <n v="109"/>
    <s v="S24_1785"/>
    <s v="Australian Collectors, Co."/>
    <s v="03 9520 4555"/>
    <s v="636 St Kilda Road"/>
    <s v="Level 3"/>
    <x v="0"/>
    <x v="0"/>
    <s v="3004"/>
    <s v="Australia"/>
    <x v="0"/>
    <x v="0"/>
    <x v="0"/>
    <s v="Medium"/>
  </r>
  <r>
    <n v="10391"/>
    <x v="32"/>
    <n v="100"/>
    <n v="8"/>
    <x v="91"/>
    <x v="3"/>
    <s v="Shipped"/>
    <n v="1"/>
    <n v="3"/>
    <x v="0"/>
    <x v="1"/>
    <x v="3"/>
    <n v="33"/>
    <s v="S24_1937"/>
    <s v="Anna's Decorations, Ltd"/>
    <s v="02 9936 8555"/>
    <s v="201 Miller Street"/>
    <s v="Level 15"/>
    <x v="2"/>
    <x v="1"/>
    <s v="2060"/>
    <s v="Australia"/>
    <x v="0"/>
    <x v="2"/>
    <x v="2"/>
    <s v="Large"/>
  </r>
  <r>
    <n v="10420"/>
    <x v="23"/>
    <n v="26.88"/>
    <n v="1"/>
    <x v="92"/>
    <x v="12"/>
    <s v="In Process"/>
    <n v="2"/>
    <n v="5"/>
    <x v="3"/>
    <x v="1"/>
    <x v="3"/>
    <n v="33"/>
    <s v="S24_1937"/>
    <s v="Souveniers And Things Co."/>
    <s v="+61 2 9495 8555"/>
    <s v="Monitor Money Building, 815 Pacific Hwy"/>
    <s v="Level 6"/>
    <x v="1"/>
    <x v="1"/>
    <s v="2067"/>
    <s v="Australia"/>
    <x v="0"/>
    <x v="1"/>
    <x v="1"/>
    <s v="Small"/>
  </r>
  <r>
    <n v="10120"/>
    <x v="26"/>
    <n v="83.79"/>
    <n v="5"/>
    <x v="93"/>
    <x v="4"/>
    <s v="Shipped"/>
    <n v="2"/>
    <n v="4"/>
    <x v="3"/>
    <x v="2"/>
    <x v="0"/>
    <n v="76"/>
    <s v="S24_2000"/>
    <s v="Australian Collectors, Co."/>
    <s v="03 9520 4555"/>
    <s v="636 St Kilda Road"/>
    <s v="Level 3"/>
    <x v="0"/>
    <x v="0"/>
    <s v="3004"/>
    <s v="Australia"/>
    <x v="0"/>
    <x v="0"/>
    <x v="0"/>
    <s v="Small"/>
  </r>
  <r>
    <n v="10223"/>
    <x v="30"/>
    <n v="69.31"/>
    <n v="6"/>
    <x v="94"/>
    <x v="0"/>
    <s v="Shipped"/>
    <n v="1"/>
    <n v="2"/>
    <x v="0"/>
    <x v="0"/>
    <x v="0"/>
    <n v="76"/>
    <s v="S24_2000"/>
    <s v="Australian Collectors, Co."/>
    <s v="03 9520 4555"/>
    <s v="636 St Kilda Road"/>
    <s v="Level 3"/>
    <x v="0"/>
    <x v="0"/>
    <s v="3004"/>
    <s v="Australia"/>
    <x v="0"/>
    <x v="0"/>
    <x v="0"/>
    <s v="Small"/>
  </r>
  <r>
    <n v="10391"/>
    <x v="3"/>
    <n v="100"/>
    <n v="1"/>
    <x v="95"/>
    <x v="3"/>
    <s v="Shipped"/>
    <n v="1"/>
    <n v="3"/>
    <x v="0"/>
    <x v="1"/>
    <x v="3"/>
    <n v="44"/>
    <s v="S24_2022"/>
    <s v="Anna's Decorations, Ltd"/>
    <s v="02 9936 8555"/>
    <s v="201 Miller Street"/>
    <s v="Level 15"/>
    <x v="2"/>
    <x v="1"/>
    <s v="2060"/>
    <s v="Australia"/>
    <x v="0"/>
    <x v="2"/>
    <x v="2"/>
    <s v="Medium"/>
  </r>
  <r>
    <n v="10169"/>
    <x v="30"/>
    <n v="74.11"/>
    <n v="11"/>
    <x v="96"/>
    <x v="7"/>
    <s v="Shipped"/>
    <n v="4"/>
    <n v="11"/>
    <x v="4"/>
    <x v="2"/>
    <x v="0"/>
    <n v="69"/>
    <s v="S24_2360"/>
    <s v="Anna's Decorations, Ltd"/>
    <s v="02 9936 8555"/>
    <s v="201 Miller Street"/>
    <s v="Level 15"/>
    <x v="2"/>
    <x v="1"/>
    <s v="2060"/>
    <s v="Australia"/>
    <x v="0"/>
    <x v="2"/>
    <x v="2"/>
    <s v="Small"/>
  </r>
  <r>
    <n v="10148"/>
    <x v="1"/>
    <n v="73.599999999999994"/>
    <n v="4"/>
    <x v="97"/>
    <x v="8"/>
    <s v="Shipped"/>
    <n v="3"/>
    <n v="9"/>
    <x v="6"/>
    <x v="2"/>
    <x v="1"/>
    <n v="90"/>
    <s v="S24_2766"/>
    <s v="Anna's Decorations, Ltd"/>
    <s v="02 9936 8555"/>
    <s v="201 Miller Street"/>
    <s v="Level 15"/>
    <x v="2"/>
    <x v="1"/>
    <s v="2060"/>
    <s v="Australia"/>
    <x v="0"/>
    <x v="2"/>
    <x v="2"/>
    <s v="Small"/>
  </r>
  <r>
    <n v="10420"/>
    <x v="13"/>
    <n v="100"/>
    <n v="9"/>
    <x v="98"/>
    <x v="12"/>
    <s v="In Process"/>
    <n v="2"/>
    <n v="5"/>
    <x v="3"/>
    <x v="1"/>
    <x v="1"/>
    <n v="90"/>
    <s v="S24_2766"/>
    <s v="Souveniers And Things Co."/>
    <s v="+61 2 9495 8555"/>
    <s v="Monitor Money Building, 815 Pacific Hwy"/>
    <s v="Level 6"/>
    <x v="1"/>
    <x v="1"/>
    <s v="2067"/>
    <s v="Australia"/>
    <x v="0"/>
    <x v="1"/>
    <x v="1"/>
    <s v="Medium"/>
  </r>
  <r>
    <n v="10148"/>
    <x v="26"/>
    <n v="100"/>
    <n v="3"/>
    <x v="99"/>
    <x v="8"/>
    <s v="Shipped"/>
    <n v="3"/>
    <n v="9"/>
    <x v="6"/>
    <x v="2"/>
    <x v="1"/>
    <n v="117"/>
    <s v="S24_2887"/>
    <s v="Anna's Decorations, Ltd"/>
    <s v="02 9936 8555"/>
    <s v="201 Miller Street"/>
    <s v="Level 15"/>
    <x v="2"/>
    <x v="1"/>
    <s v="2060"/>
    <s v="Australia"/>
    <x v="0"/>
    <x v="2"/>
    <x v="2"/>
    <s v="Medium"/>
  </r>
  <r>
    <n v="10420"/>
    <x v="20"/>
    <n v="96.3"/>
    <n v="8"/>
    <x v="100"/>
    <x v="12"/>
    <s v="In Process"/>
    <n v="2"/>
    <n v="5"/>
    <x v="3"/>
    <x v="1"/>
    <x v="1"/>
    <n v="117"/>
    <s v="S24_2887"/>
    <s v="Souveniers And Things Co."/>
    <s v="+61 2 9495 8555"/>
    <s v="Monitor Money Building, 815 Pacific Hwy"/>
    <s v="Level 6"/>
    <x v="1"/>
    <x v="1"/>
    <s v="2067"/>
    <s v="Australia"/>
    <x v="0"/>
    <x v="1"/>
    <x v="1"/>
    <s v="Medium"/>
  </r>
  <r>
    <n v="10342"/>
    <x v="13"/>
    <n v="40.4"/>
    <n v="9"/>
    <x v="101"/>
    <x v="9"/>
    <s v="Shipped"/>
    <n v="4"/>
    <n v="11"/>
    <x v="1"/>
    <x v="0"/>
    <x v="1"/>
    <n v="37"/>
    <s v="S24_2972"/>
    <s v="Australian Collectors, Co."/>
    <s v="03 9520 4555"/>
    <s v="636 St Kilda Road"/>
    <s v="Level 3"/>
    <x v="0"/>
    <x v="0"/>
    <s v="3004"/>
    <s v="Australia"/>
    <x v="0"/>
    <x v="0"/>
    <x v="0"/>
    <s v="Small"/>
  </r>
  <r>
    <n v="10148"/>
    <x v="19"/>
    <n v="73.62"/>
    <n v="5"/>
    <x v="102"/>
    <x v="8"/>
    <s v="Shipped"/>
    <n v="3"/>
    <n v="9"/>
    <x v="6"/>
    <x v="2"/>
    <x v="1"/>
    <n v="85"/>
    <s v="S24_3191"/>
    <s v="Anna's Decorations, Ltd"/>
    <s v="02 9936 8555"/>
    <s v="201 Miller Street"/>
    <s v="Level 15"/>
    <x v="2"/>
    <x v="1"/>
    <s v="2060"/>
    <s v="Australia"/>
    <x v="0"/>
    <x v="2"/>
    <x v="2"/>
    <s v="Small"/>
  </r>
  <r>
    <n v="10420"/>
    <x v="11"/>
    <n v="96.74"/>
    <n v="10"/>
    <x v="103"/>
    <x v="12"/>
    <s v="In Process"/>
    <n v="2"/>
    <n v="5"/>
    <x v="3"/>
    <x v="1"/>
    <x v="1"/>
    <n v="85"/>
    <s v="S24_3191"/>
    <s v="Souveniers And Things Co."/>
    <s v="+61 2 9495 8555"/>
    <s v="Monitor Money Building, 815 Pacific Hwy"/>
    <s v="Level 6"/>
    <x v="1"/>
    <x v="1"/>
    <s v="2067"/>
    <s v="Australia"/>
    <x v="0"/>
    <x v="1"/>
    <x v="1"/>
    <s v="Medium"/>
  </r>
  <r>
    <n v="10169"/>
    <x v="26"/>
    <n v="50.21"/>
    <n v="1"/>
    <x v="104"/>
    <x v="7"/>
    <s v="Shipped"/>
    <n v="4"/>
    <n v="11"/>
    <x v="4"/>
    <x v="2"/>
    <x v="1"/>
    <n v="61"/>
    <s v="S24_3371"/>
    <s v="Anna's Decorations, Ltd"/>
    <s v="02 9936 8555"/>
    <s v="201 Miller Street"/>
    <s v="Level 15"/>
    <x v="2"/>
    <x v="1"/>
    <s v="2060"/>
    <s v="Australia"/>
    <x v="0"/>
    <x v="2"/>
    <x v="2"/>
    <s v="Small"/>
  </r>
  <r>
    <n v="10342"/>
    <x v="28"/>
    <n v="62.45"/>
    <n v="10"/>
    <x v="105"/>
    <x v="9"/>
    <s v="Shipped"/>
    <n v="4"/>
    <n v="11"/>
    <x v="1"/>
    <x v="0"/>
    <x v="1"/>
    <n v="61"/>
    <s v="S24_3371"/>
    <s v="Australian Collectors, Co."/>
    <s v="03 9520 4555"/>
    <s v="636 St Kilda Road"/>
    <s v="Level 3"/>
    <x v="0"/>
    <x v="0"/>
    <s v="3004"/>
    <s v="Australia"/>
    <x v="0"/>
    <x v="0"/>
    <x v="0"/>
    <s v="Small"/>
  </r>
  <r>
    <n v="10361"/>
    <x v="26"/>
    <n v="100"/>
    <n v="6"/>
    <x v="106"/>
    <x v="5"/>
    <s v="Shipped"/>
    <n v="4"/>
    <n v="12"/>
    <x v="4"/>
    <x v="0"/>
    <x v="3"/>
    <n v="65"/>
    <s v="S24_3420"/>
    <s v="Souveniers And Things Co."/>
    <s v="+61 2 9495 8555"/>
    <s v="Monitor Money Building, 815 Pacific Hwy"/>
    <s v="Level 6"/>
    <x v="1"/>
    <x v="1"/>
    <s v="2067"/>
    <s v="Australia"/>
    <x v="0"/>
    <x v="1"/>
    <x v="1"/>
    <s v="Medium"/>
  </r>
  <r>
    <n v="10148"/>
    <x v="10"/>
    <n v="100"/>
    <n v="7"/>
    <x v="107"/>
    <x v="8"/>
    <s v="Shipped"/>
    <n v="3"/>
    <n v="9"/>
    <x v="6"/>
    <x v="2"/>
    <x v="1"/>
    <n v="107"/>
    <s v="S24_3432"/>
    <s v="Anna's Decorations, Ltd"/>
    <s v="02 9936 8555"/>
    <s v="201 Miller Street"/>
    <s v="Level 15"/>
    <x v="2"/>
    <x v="1"/>
    <s v="2060"/>
    <s v="Australia"/>
    <x v="0"/>
    <x v="2"/>
    <x v="2"/>
    <s v="Medium"/>
  </r>
  <r>
    <n v="10420"/>
    <x v="6"/>
    <n v="100"/>
    <n v="12"/>
    <x v="108"/>
    <x v="12"/>
    <s v="In Process"/>
    <n v="2"/>
    <n v="5"/>
    <x v="3"/>
    <x v="1"/>
    <x v="1"/>
    <n v="107"/>
    <s v="S24_3432"/>
    <s v="Souveniers And Things Co."/>
    <s v="+61 2 9495 8555"/>
    <s v="Monitor Money Building, 815 Pacific Hwy"/>
    <s v="Level 6"/>
    <x v="1"/>
    <x v="1"/>
    <s v="2067"/>
    <s v="Australia"/>
    <x v="0"/>
    <x v="1"/>
    <x v="1"/>
    <s v="Small"/>
  </r>
  <r>
    <n v="10342"/>
    <x v="16"/>
    <n v="100"/>
    <n v="6"/>
    <x v="109"/>
    <x v="9"/>
    <s v="Shipped"/>
    <n v="4"/>
    <n v="11"/>
    <x v="1"/>
    <x v="0"/>
    <x v="1"/>
    <n v="140"/>
    <s v="S24_3856"/>
    <s v="Australian Collectors, Co."/>
    <s v="03 9520 4555"/>
    <s v="636 St Kilda Road"/>
    <s v="Level 3"/>
    <x v="0"/>
    <x v="0"/>
    <s v="3004"/>
    <s v="Australia"/>
    <x v="0"/>
    <x v="0"/>
    <x v="0"/>
    <s v="Medium"/>
  </r>
  <r>
    <n v="10361"/>
    <x v="6"/>
    <n v="100"/>
    <n v="7"/>
    <x v="110"/>
    <x v="5"/>
    <s v="Shipped"/>
    <n v="4"/>
    <n v="12"/>
    <x v="8"/>
    <x v="0"/>
    <x v="4"/>
    <n v="68"/>
    <s v="S24_3949"/>
    <s v="Souveniers And Things Co."/>
    <s v="+61 2 9495 8555"/>
    <s v="Monitor Money Building, 815 Pacific Hwy"/>
    <s v="Level 6"/>
    <x v="1"/>
    <x v="1"/>
    <s v="2067"/>
    <s v="Australia"/>
    <x v="0"/>
    <x v="1"/>
    <x v="1"/>
    <s v="Medium"/>
  </r>
  <r>
    <n v="10420"/>
    <x v="34"/>
    <n v="43.49"/>
    <n v="3"/>
    <x v="111"/>
    <x v="12"/>
    <s v="In Process"/>
    <n v="2"/>
    <n v="5"/>
    <x v="8"/>
    <x v="1"/>
    <x v="3"/>
    <n v="41"/>
    <s v="S24_3969"/>
    <s v="Souveniers And Things Co."/>
    <s v="+61 2 9495 8555"/>
    <s v="Monitor Money Building, 815 Pacific Hwy"/>
    <s v="Level 6"/>
    <x v="1"/>
    <x v="1"/>
    <s v="2067"/>
    <s v="Australia"/>
    <x v="0"/>
    <x v="1"/>
    <x v="1"/>
    <s v="Small"/>
  </r>
  <r>
    <n v="10139"/>
    <x v="4"/>
    <n v="100"/>
    <n v="4"/>
    <x v="112"/>
    <x v="11"/>
    <s v="Shipped"/>
    <n v="3"/>
    <n v="7"/>
    <x v="8"/>
    <x v="2"/>
    <x v="3"/>
    <n v="97"/>
    <s v="S24_4258"/>
    <s v="Souveniers And Things Co."/>
    <s v="+61 2 9495 8555"/>
    <s v="Monitor Money Building, 815 Pacific Hwy"/>
    <s v="Level 6"/>
    <x v="1"/>
    <x v="1"/>
    <s v="2067"/>
    <s v="Australia"/>
    <x v="0"/>
    <x v="1"/>
    <x v="1"/>
    <s v="Medium"/>
  </r>
  <r>
    <n v="10120"/>
    <x v="4"/>
    <n v="85.49"/>
    <n v="9"/>
    <x v="113"/>
    <x v="4"/>
    <s v="Shipped"/>
    <n v="2"/>
    <n v="4"/>
    <x v="8"/>
    <x v="2"/>
    <x v="4"/>
    <n v="72"/>
    <s v="S24_4278"/>
    <s v="Australian Collectors, Co."/>
    <s v="03 9520 4555"/>
    <s v="636 St Kilda Road"/>
    <s v="Level 3"/>
    <x v="0"/>
    <x v="0"/>
    <s v="3004"/>
    <s v="Australia"/>
    <x v="0"/>
    <x v="0"/>
    <x v="0"/>
    <s v="Small"/>
  </r>
  <r>
    <n v="10223"/>
    <x v="17"/>
    <n v="74.62"/>
    <n v="10"/>
    <x v="114"/>
    <x v="0"/>
    <s v="Shipped"/>
    <n v="1"/>
    <n v="2"/>
    <x v="8"/>
    <x v="0"/>
    <x v="4"/>
    <n v="72"/>
    <s v="S24_4278"/>
    <s v="Australian Collectors, Co."/>
    <s v="03 9520 4555"/>
    <s v="636 St Kilda Road"/>
    <s v="Level 3"/>
    <x v="0"/>
    <x v="0"/>
    <s v="3004"/>
    <s v="Australia"/>
    <x v="0"/>
    <x v="0"/>
    <x v="0"/>
    <s v="Small"/>
  </r>
  <r>
    <n v="10361"/>
    <x v="21"/>
    <n v="62.46"/>
    <n v="1"/>
    <x v="115"/>
    <x v="5"/>
    <s v="Shipped"/>
    <n v="4"/>
    <n v="12"/>
    <x v="8"/>
    <x v="0"/>
    <x v="4"/>
    <n v="72"/>
    <s v="S24_4278"/>
    <s v="Souveniers And Things Co."/>
    <s v="+61 2 9495 8555"/>
    <s v="Monitor Money Building, 815 Pacific Hwy"/>
    <s v="Level 6"/>
    <x v="1"/>
    <x v="1"/>
    <s v="2067"/>
    <s v="Australia"/>
    <x v="0"/>
    <x v="1"/>
    <x v="1"/>
    <s v="Small"/>
  </r>
  <r>
    <n v="10169"/>
    <x v="3"/>
    <n v="94.58"/>
    <n v="6"/>
    <x v="116"/>
    <x v="7"/>
    <s v="Shipped"/>
    <n v="4"/>
    <n v="11"/>
    <x v="4"/>
    <x v="2"/>
    <x v="1"/>
    <n v="80"/>
    <s v="S24_4620"/>
    <s v="Anna's Decorations, Ltd"/>
    <s v="02 9936 8555"/>
    <s v="201 Miller Street"/>
    <s v="Level 15"/>
    <x v="2"/>
    <x v="1"/>
    <s v="2060"/>
    <s v="Australia"/>
    <x v="0"/>
    <x v="2"/>
    <x v="2"/>
    <s v="Small"/>
  </r>
  <r>
    <n v="10270"/>
    <x v="9"/>
    <n v="85.72"/>
    <n v="1"/>
    <x v="117"/>
    <x v="1"/>
    <s v="Shipped"/>
    <n v="3"/>
    <n v="7"/>
    <x v="8"/>
    <x v="0"/>
    <x v="2"/>
    <n v="96"/>
    <s v="S32_1268"/>
    <s v="Souveniers And Things Co."/>
    <s v="+61 2 9495 8555"/>
    <s v="Monitor Money Building, 815 Pacific Hwy"/>
    <s v="Level 6"/>
    <x v="1"/>
    <x v="1"/>
    <s v="2067"/>
    <s v="Australia"/>
    <x v="0"/>
    <x v="1"/>
    <x v="1"/>
    <s v="Small"/>
  </r>
  <r>
    <n v="10120"/>
    <x v="22"/>
    <n v="100"/>
    <n v="6"/>
    <x v="118"/>
    <x v="4"/>
    <s v="Shipped"/>
    <n v="2"/>
    <n v="4"/>
    <x v="8"/>
    <x v="2"/>
    <x v="0"/>
    <n v="99"/>
    <s v="S32_1374"/>
    <s v="Australian Collectors, Co."/>
    <s v="03 9520 4555"/>
    <s v="636 St Kilda Road"/>
    <s v="Level 3"/>
    <x v="0"/>
    <x v="0"/>
    <s v="3004"/>
    <s v="Australia"/>
    <x v="0"/>
    <x v="0"/>
    <x v="0"/>
    <s v="Small"/>
  </r>
  <r>
    <n v="10223"/>
    <x v="1"/>
    <n v="100"/>
    <n v="7"/>
    <x v="119"/>
    <x v="0"/>
    <s v="Shipped"/>
    <n v="1"/>
    <n v="2"/>
    <x v="8"/>
    <x v="0"/>
    <x v="0"/>
    <n v="99"/>
    <s v="S32_1374"/>
    <s v="Australian Collectors, Co."/>
    <s v="03 9520 4555"/>
    <s v="636 St Kilda Road"/>
    <s v="Level 3"/>
    <x v="0"/>
    <x v="0"/>
    <s v="3004"/>
    <s v="Australia"/>
    <x v="0"/>
    <x v="0"/>
    <x v="0"/>
    <s v="Small"/>
  </r>
  <r>
    <n v="10169"/>
    <x v="6"/>
    <n v="39.83"/>
    <n v="9"/>
    <x v="120"/>
    <x v="7"/>
    <s v="Shipped"/>
    <n v="4"/>
    <n v="11"/>
    <x v="8"/>
    <x v="2"/>
    <x v="0"/>
    <n v="40"/>
    <s v="S32_2206"/>
    <s v="Anna's Decorations, Ltd"/>
    <s v="02 9936 8555"/>
    <s v="201 Miller Street"/>
    <s v="Level 15"/>
    <x v="2"/>
    <x v="1"/>
    <s v="2060"/>
    <s v="Australia"/>
    <x v="0"/>
    <x v="2"/>
    <x v="2"/>
    <s v="Small"/>
  </r>
  <r>
    <n v="10270"/>
    <x v="1"/>
    <n v="63.35"/>
    <n v="5"/>
    <x v="121"/>
    <x v="1"/>
    <s v="Shipped"/>
    <n v="3"/>
    <n v="7"/>
    <x v="8"/>
    <x v="0"/>
    <x v="2"/>
    <n v="64"/>
    <s v="S32_3522"/>
    <s v="Souveniers And Things Co."/>
    <s v="+61 2 9495 8555"/>
    <s v="Monitor Money Building, 815 Pacific Hwy"/>
    <s v="Level 6"/>
    <x v="1"/>
    <x v="1"/>
    <s v="2067"/>
    <s v="Australia"/>
    <x v="0"/>
    <x v="1"/>
    <x v="1"/>
    <s v="Small"/>
  </r>
  <r>
    <n v="10370"/>
    <x v="21"/>
    <n v="100"/>
    <n v="3"/>
    <x v="122"/>
    <x v="6"/>
    <s v="Shipped"/>
    <n v="1"/>
    <n v="1"/>
    <x v="8"/>
    <x v="1"/>
    <x v="2"/>
    <n v="64"/>
    <s v="S32_3522"/>
    <s v="Anna's Decorations, Ltd"/>
    <s v="02 9936 8555"/>
    <s v="201 Miller Street"/>
    <s v="Level 15"/>
    <x v="2"/>
    <x v="1"/>
    <s v="2060"/>
    <s v="Australia"/>
    <x v="0"/>
    <x v="2"/>
    <x v="2"/>
    <s v="Medium"/>
  </r>
  <r>
    <n v="10120"/>
    <x v="4"/>
    <n v="72.23"/>
    <n v="11"/>
    <x v="123"/>
    <x v="4"/>
    <s v="Shipped"/>
    <n v="2"/>
    <n v="4"/>
    <x v="8"/>
    <x v="2"/>
    <x v="3"/>
    <n v="68"/>
    <s v="S32_4289"/>
    <s v="Australian Collectors, Co."/>
    <s v="03 9520 4555"/>
    <s v="636 St Kilda Road"/>
    <s v="Level 3"/>
    <x v="0"/>
    <x v="0"/>
    <s v="3004"/>
    <s v="Australia"/>
    <x v="0"/>
    <x v="0"/>
    <x v="0"/>
    <s v="Small"/>
  </r>
  <r>
    <n v="10223"/>
    <x v="29"/>
    <n v="66.040000000000006"/>
    <n v="12"/>
    <x v="124"/>
    <x v="0"/>
    <s v="Shipped"/>
    <n v="1"/>
    <n v="2"/>
    <x v="8"/>
    <x v="0"/>
    <x v="3"/>
    <n v="68"/>
    <s v="S32_4289"/>
    <s v="Australian Collectors, Co."/>
    <s v="03 9520 4555"/>
    <s v="636 St Kilda Road"/>
    <s v="Level 3"/>
    <x v="0"/>
    <x v="0"/>
    <s v="3004"/>
    <s v="Australia"/>
    <x v="0"/>
    <x v="0"/>
    <x v="0"/>
    <s v="Small"/>
  </r>
  <r>
    <n v="10361"/>
    <x v="8"/>
    <n v="72.33"/>
    <n v="2"/>
    <x v="125"/>
    <x v="5"/>
    <s v="Shipped"/>
    <n v="4"/>
    <n v="12"/>
    <x v="8"/>
    <x v="0"/>
    <x v="3"/>
    <n v="68"/>
    <s v="S32_4289"/>
    <s v="Souveniers And Things Co."/>
    <s v="+61 2 9495 8555"/>
    <s v="Monitor Money Building, 815 Pacific Hwy"/>
    <s v="Level 6"/>
    <x v="1"/>
    <x v="1"/>
    <s v="2067"/>
    <s v="Australia"/>
    <x v="0"/>
    <x v="1"/>
    <x v="1"/>
    <s v="Medium"/>
  </r>
  <r>
    <n v="10169"/>
    <x v="26"/>
    <n v="100"/>
    <n v="12"/>
    <x v="126"/>
    <x v="7"/>
    <s v="Shipped"/>
    <n v="4"/>
    <n v="11"/>
    <x v="8"/>
    <x v="2"/>
    <x v="0"/>
    <n v="102"/>
    <s v="S32_4485"/>
    <s v="Anna's Decorations, Ltd"/>
    <s v="02 9936 8555"/>
    <s v="201 Miller Street"/>
    <s v="Level 15"/>
    <x v="2"/>
    <x v="1"/>
    <s v="2060"/>
    <s v="Australia"/>
    <x v="0"/>
    <x v="2"/>
    <x v="2"/>
    <s v="Medium"/>
  </r>
  <r>
    <n v="10120"/>
    <x v="8"/>
    <n v="50.62"/>
    <n v="12"/>
    <x v="127"/>
    <x v="4"/>
    <s v="Shipped"/>
    <n v="2"/>
    <n v="4"/>
    <x v="8"/>
    <x v="2"/>
    <x v="3"/>
    <n v="43"/>
    <s v="S50_1341"/>
    <s v="Australian Collectors, Co."/>
    <s v="03 9520 4555"/>
    <s v="636 St Kilda Road"/>
    <s v="Level 3"/>
    <x v="0"/>
    <x v="0"/>
    <s v="3004"/>
    <s v="Australia"/>
    <x v="0"/>
    <x v="0"/>
    <x v="0"/>
    <s v="Small"/>
  </r>
  <r>
    <n v="10223"/>
    <x v="27"/>
    <n v="46.26"/>
    <n v="13"/>
    <x v="128"/>
    <x v="0"/>
    <s v="Shipped"/>
    <n v="1"/>
    <n v="2"/>
    <x v="8"/>
    <x v="0"/>
    <x v="3"/>
    <n v="43"/>
    <s v="S50_1341"/>
    <s v="Australian Collectors, Co."/>
    <s v="03 9520 4555"/>
    <s v="636 St Kilda Road"/>
    <s v="Level 3"/>
    <x v="0"/>
    <x v="0"/>
    <s v="3004"/>
    <s v="Australia"/>
    <x v="0"/>
    <x v="0"/>
    <x v="0"/>
    <s v="Small"/>
  </r>
  <r>
    <n v="10361"/>
    <x v="32"/>
    <n v="82.59"/>
    <n v="3"/>
    <x v="129"/>
    <x v="5"/>
    <s v="Shipped"/>
    <n v="4"/>
    <n v="12"/>
    <x v="8"/>
    <x v="0"/>
    <x v="3"/>
    <n v="43"/>
    <s v="S50_1341"/>
    <s v="Souveniers And Things Co."/>
    <s v="+61 2 9495 8555"/>
    <s v="Monitor Money Building, 815 Pacific Hwy"/>
    <s v="Level 6"/>
    <x v="1"/>
    <x v="1"/>
    <s v="2067"/>
    <s v="Australia"/>
    <x v="0"/>
    <x v="1"/>
    <x v="1"/>
    <s v="Small"/>
  </r>
  <r>
    <n v="10169"/>
    <x v="28"/>
    <n v="80.55"/>
    <n v="10"/>
    <x v="130"/>
    <x v="7"/>
    <s v="Shipped"/>
    <n v="4"/>
    <n v="11"/>
    <x v="8"/>
    <x v="2"/>
    <x v="0"/>
    <n v="81"/>
    <s v="S50_4713"/>
    <s v="Anna's Decorations, Ltd"/>
    <s v="02 9936 8555"/>
    <s v="201 Miller Street"/>
    <s v="Level 15"/>
    <x v="2"/>
    <x v="1"/>
    <s v="2060"/>
    <s v="Australia"/>
    <x v="0"/>
    <x v="2"/>
    <x v="2"/>
    <s v="Medium"/>
  </r>
  <r>
    <n v="10120"/>
    <x v="5"/>
    <n v="82.21"/>
    <n v="13"/>
    <x v="131"/>
    <x v="4"/>
    <s v="Shipped"/>
    <n v="2"/>
    <n v="4"/>
    <x v="8"/>
    <x v="2"/>
    <x v="4"/>
    <n v="91"/>
    <s v="S700_1691"/>
    <s v="Australian Collectors, Co."/>
    <s v="03 9520 4555"/>
    <s v="636 St Kilda Road"/>
    <s v="Level 3"/>
    <x v="0"/>
    <x v="0"/>
    <s v="3004"/>
    <s v="Australia"/>
    <x v="0"/>
    <x v="0"/>
    <x v="0"/>
    <s v="Medium"/>
  </r>
  <r>
    <n v="10223"/>
    <x v="21"/>
    <n v="100"/>
    <n v="14"/>
    <x v="132"/>
    <x v="0"/>
    <s v="Shipped"/>
    <n v="1"/>
    <n v="2"/>
    <x v="8"/>
    <x v="0"/>
    <x v="4"/>
    <n v="91"/>
    <s v="S700_1691"/>
    <s v="Australian Collectors, Co."/>
    <s v="03 9520 4555"/>
    <s v="636 St Kilda Road"/>
    <s v="Level 3"/>
    <x v="0"/>
    <x v="0"/>
    <s v="3004"/>
    <s v="Australia"/>
    <x v="0"/>
    <x v="0"/>
    <x v="0"/>
    <s v="Small"/>
  </r>
  <r>
    <n v="10361"/>
    <x v="29"/>
    <n v="60.54"/>
    <n v="4"/>
    <x v="133"/>
    <x v="5"/>
    <s v="Shipped"/>
    <n v="4"/>
    <n v="12"/>
    <x v="8"/>
    <x v="0"/>
    <x v="4"/>
    <n v="91"/>
    <s v="S700_1691"/>
    <s v="Souveniers And Things Co."/>
    <s v="+61 2 9495 8555"/>
    <s v="Monitor Money Building, 815 Pacific Hwy"/>
    <s v="Level 6"/>
    <x v="1"/>
    <x v="1"/>
    <s v="2067"/>
    <s v="Australia"/>
    <x v="0"/>
    <x v="1"/>
    <x v="1"/>
    <s v="Small"/>
  </r>
  <r>
    <n v="10361"/>
    <x v="3"/>
    <n v="45.39"/>
    <n v="14"/>
    <x v="134"/>
    <x v="5"/>
    <s v="Shipped"/>
    <n v="4"/>
    <n v="12"/>
    <x v="4"/>
    <x v="0"/>
    <x v="5"/>
    <n v="90"/>
    <s v="S700_2047"/>
    <s v="Souveniers And Things Co."/>
    <s v="+61 2 9495 8555"/>
    <s v="Monitor Money Building, 815 Pacific Hwy"/>
    <s v="Level 6"/>
    <x v="1"/>
    <x v="1"/>
    <s v="2067"/>
    <s v="Australia"/>
    <x v="0"/>
    <x v="1"/>
    <x v="1"/>
    <s v="Small"/>
  </r>
  <r>
    <n v="10120"/>
    <x v="3"/>
    <n v="100"/>
    <n v="15"/>
    <x v="135"/>
    <x v="4"/>
    <s v="Shipped"/>
    <n v="2"/>
    <n v="4"/>
    <x v="3"/>
    <x v="2"/>
    <x v="4"/>
    <n v="99"/>
    <s v="S700_2466"/>
    <s v="Australian Collectors, Co."/>
    <s v="03 9520 4555"/>
    <s v="636 St Kilda Road"/>
    <s v="Level 3"/>
    <x v="0"/>
    <x v="0"/>
    <s v="3004"/>
    <s v="Australia"/>
    <x v="0"/>
    <x v="0"/>
    <x v="0"/>
    <s v="Small"/>
  </r>
  <r>
    <n v="10361"/>
    <x v="6"/>
    <n v="100"/>
    <n v="9"/>
    <x v="136"/>
    <x v="5"/>
    <s v="Shipped"/>
    <n v="4"/>
    <n v="12"/>
    <x v="4"/>
    <x v="0"/>
    <x v="4"/>
    <n v="99"/>
    <s v="S700_2466"/>
    <s v="Souveniers And Things Co."/>
    <s v="+61 2 9495 8555"/>
    <s v="Monitor Money Building, 815 Pacific Hwy"/>
    <s v="Level 6"/>
    <x v="1"/>
    <x v="1"/>
    <s v="2067"/>
    <s v="Australia"/>
    <x v="0"/>
    <x v="1"/>
    <x v="1"/>
    <s v="Small"/>
  </r>
  <r>
    <n v="10270"/>
    <x v="7"/>
    <n v="88"/>
    <n v="4"/>
    <x v="137"/>
    <x v="1"/>
    <s v="Shipped"/>
    <n v="3"/>
    <n v="7"/>
    <x v="1"/>
    <x v="0"/>
    <x v="1"/>
    <n v="101"/>
    <s v="S700_2824"/>
    <s v="Souveniers And Things Co."/>
    <s v="+61 2 9495 8555"/>
    <s v="Monitor Money Building, 815 Pacific Hwy"/>
    <s v="Level 6"/>
    <x v="1"/>
    <x v="1"/>
    <s v="2067"/>
    <s v="Australia"/>
    <x v="0"/>
    <x v="1"/>
    <x v="1"/>
    <s v="Medium"/>
  </r>
  <r>
    <n v="10120"/>
    <x v="3"/>
    <n v="100"/>
    <n v="7"/>
    <x v="138"/>
    <x v="4"/>
    <s v="Shipped"/>
    <n v="2"/>
    <n v="4"/>
    <x v="8"/>
    <x v="2"/>
    <x v="4"/>
    <n v="118"/>
    <s v="S700_2834"/>
    <s v="Australian Collectors, Co."/>
    <s v="03 9520 4555"/>
    <s v="636 St Kilda Road"/>
    <s v="Level 3"/>
    <x v="0"/>
    <x v="0"/>
    <s v="3004"/>
    <s v="Australia"/>
    <x v="0"/>
    <x v="0"/>
    <x v="0"/>
    <s v="Medium"/>
  </r>
  <r>
    <n v="10223"/>
    <x v="4"/>
    <n v="100"/>
    <n v="8"/>
    <x v="139"/>
    <x v="0"/>
    <s v="Shipped"/>
    <n v="1"/>
    <n v="2"/>
    <x v="8"/>
    <x v="0"/>
    <x v="4"/>
    <n v="118"/>
    <s v="S700_2834"/>
    <s v="Australian Collectors, Co."/>
    <s v="03 9520 4555"/>
    <s v="636 St Kilda Road"/>
    <s v="Level 3"/>
    <x v="0"/>
    <x v="0"/>
    <s v="3004"/>
    <s v="Australia"/>
    <x v="0"/>
    <x v="0"/>
    <x v="0"/>
    <s v="Medium"/>
  </r>
  <r>
    <n v="10361"/>
    <x v="25"/>
    <n v="72.42"/>
    <n v="5"/>
    <x v="140"/>
    <x v="5"/>
    <s v="Shipped"/>
    <n v="4"/>
    <n v="12"/>
    <x v="8"/>
    <x v="0"/>
    <x v="4"/>
    <n v="118"/>
    <s v="S700_2834"/>
    <s v="Souveniers And Things Co."/>
    <s v="+61 2 9495 8555"/>
    <s v="Monitor Money Building, 815 Pacific Hwy"/>
    <s v="Level 6"/>
    <x v="1"/>
    <x v="1"/>
    <s v="2067"/>
    <s v="Australia"/>
    <x v="0"/>
    <x v="1"/>
    <x v="1"/>
    <s v="Medium"/>
  </r>
  <r>
    <n v="10120"/>
    <x v="15"/>
    <n v="76"/>
    <n v="14"/>
    <x v="141"/>
    <x v="4"/>
    <s v="Shipped"/>
    <n v="2"/>
    <n v="4"/>
    <x v="8"/>
    <x v="2"/>
    <x v="4"/>
    <n v="80"/>
    <s v="S700_3167"/>
    <s v="Australian Collectors, Co."/>
    <s v="03 9520 4555"/>
    <s v="636 St Kilda Road"/>
    <s v="Level 3"/>
    <x v="0"/>
    <x v="0"/>
    <s v="3004"/>
    <s v="Australia"/>
    <x v="0"/>
    <x v="0"/>
    <x v="0"/>
    <s v="Medium"/>
  </r>
  <r>
    <n v="10223"/>
    <x v="6"/>
    <n v="67.2"/>
    <n v="15"/>
    <x v="142"/>
    <x v="0"/>
    <s v="Shipped"/>
    <n v="1"/>
    <n v="2"/>
    <x v="8"/>
    <x v="0"/>
    <x v="4"/>
    <n v="80"/>
    <s v="S700_3167"/>
    <s v="Australian Collectors, Co."/>
    <s v="03 9520 4555"/>
    <s v="636 St Kilda Road"/>
    <s v="Level 3"/>
    <x v="0"/>
    <x v="0"/>
    <s v="3004"/>
    <s v="Australia"/>
    <x v="0"/>
    <x v="0"/>
    <x v="0"/>
    <s v="Small"/>
  </r>
  <r>
    <n v="10361"/>
    <x v="25"/>
    <n v="100"/>
    <n v="10"/>
    <x v="143"/>
    <x v="5"/>
    <s v="Shipped"/>
    <n v="4"/>
    <n v="12"/>
    <x v="8"/>
    <x v="0"/>
    <x v="4"/>
    <n v="80"/>
    <s v="S700_3167"/>
    <s v="Souveniers And Things Co."/>
    <s v="+61 2 9495 8555"/>
    <s v="Monitor Money Building, 815 Pacific Hwy"/>
    <s v="Level 6"/>
    <x v="1"/>
    <x v="1"/>
    <s v="2067"/>
    <s v="Australia"/>
    <x v="0"/>
    <x v="1"/>
    <x v="1"/>
    <s v="Medium"/>
  </r>
  <r>
    <n v="10361"/>
    <x v="11"/>
    <n v="100"/>
    <n v="11"/>
    <x v="144"/>
    <x v="5"/>
    <s v="Shipped"/>
    <n v="4"/>
    <n v="12"/>
    <x v="4"/>
    <x v="0"/>
    <x v="4"/>
    <n v="74"/>
    <s v="S700_4002"/>
    <s v="Souveniers And Things Co."/>
    <s v="+61 2 9495 8555"/>
    <s v="Monitor Money Building, 815 Pacific Hwy"/>
    <s v="Level 6"/>
    <x v="1"/>
    <x v="1"/>
    <s v="2067"/>
    <s v="Australia"/>
    <x v="0"/>
    <x v="1"/>
    <x v="1"/>
    <s v="Medium"/>
  </r>
  <r>
    <n v="10361"/>
    <x v="17"/>
    <n v="95.2"/>
    <n v="12"/>
    <x v="145"/>
    <x v="5"/>
    <s v="Shipped"/>
    <n v="4"/>
    <n v="12"/>
    <x v="4"/>
    <x v="0"/>
    <x v="4"/>
    <n v="49"/>
    <s v="S72_1253"/>
    <s v="Souveniers And Things Co."/>
    <s v="+61 2 9495 8555"/>
    <s v="Monitor Money Building, 815 Pacific Hwy"/>
    <s v="Level 6"/>
    <x v="1"/>
    <x v="1"/>
    <s v="2067"/>
    <s v="Australia"/>
    <x v="0"/>
    <x v="1"/>
    <x v="1"/>
    <s v="Small"/>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n v="10223"/>
    <x v="0"/>
    <n v="100"/>
    <n v="4724.91"/>
    <x v="0"/>
    <x v="0"/>
    <x v="0"/>
    <x v="0"/>
  </r>
  <r>
    <n v="10342"/>
    <x v="1"/>
    <n v="100"/>
    <n v="6454.4"/>
    <x v="1"/>
    <x v="1"/>
    <x v="1"/>
    <x v="0"/>
  </r>
  <r>
    <n v="10420"/>
    <x v="2"/>
    <n v="96.3"/>
    <n v="5296.5"/>
    <x v="2"/>
    <x v="1"/>
    <x v="1"/>
    <x v="0"/>
  </r>
  <r>
    <n v="10125"/>
    <x v="3"/>
    <n v="100"/>
    <n v="6483.46"/>
    <x v="3"/>
    <x v="2"/>
    <x v="2"/>
    <x v="0"/>
  </r>
  <r>
    <n v="10139"/>
    <x v="4"/>
    <n v="100"/>
    <n v="3184.94"/>
    <x v="4"/>
    <x v="0"/>
    <x v="2"/>
    <x v="0"/>
  </r>
  <r>
    <n v="10120"/>
    <x v="5"/>
    <n v="100"/>
    <n v="9264.86"/>
    <x v="5"/>
    <x v="3"/>
    <x v="0"/>
    <x v="1"/>
  </r>
  <r>
    <n v="10169"/>
    <x v="6"/>
    <n v="74.11"/>
    <n v="2816.18"/>
    <x v="6"/>
    <x v="3"/>
    <x v="0"/>
    <x v="1"/>
  </r>
  <r>
    <n v="10169"/>
    <x v="7"/>
    <n v="100"/>
    <n v="4444.92"/>
    <x v="6"/>
    <x v="3"/>
    <x v="0"/>
    <x v="1"/>
  </r>
  <r>
    <n v="10223"/>
    <x v="3"/>
    <n v="100"/>
    <n v="3608.76"/>
    <x v="0"/>
    <x v="3"/>
    <x v="0"/>
    <x v="1"/>
  </r>
  <r>
    <n v="10223"/>
    <x v="0"/>
    <n v="100"/>
    <n v="5422.39"/>
    <x v="0"/>
    <x v="3"/>
    <x v="0"/>
    <x v="1"/>
  </r>
  <r>
    <n v="10361"/>
    <x v="8"/>
    <n v="51.15"/>
    <n v="1329.9"/>
    <x v="7"/>
    <x v="3"/>
    <x v="0"/>
    <x v="1"/>
  </r>
  <r>
    <n v="10370"/>
    <x v="9"/>
    <n v="100"/>
    <n v="8470.14"/>
    <x v="8"/>
    <x v="3"/>
    <x v="0"/>
    <x v="1"/>
  </r>
  <r>
    <n v="10148"/>
    <x v="10"/>
    <n v="100"/>
    <n v="3639.44"/>
    <x v="9"/>
    <x v="4"/>
    <x v="0"/>
    <x v="1"/>
  </r>
  <r>
    <n v="10361"/>
    <x v="8"/>
    <n v="100"/>
    <n v="3710.98"/>
    <x v="7"/>
    <x v="4"/>
    <x v="0"/>
    <x v="1"/>
  </r>
  <r>
    <n v="10361"/>
    <x v="11"/>
    <n v="100"/>
    <n v="5001.92"/>
    <x v="7"/>
    <x v="4"/>
    <x v="0"/>
    <x v="1"/>
  </r>
  <r>
    <n v="10391"/>
    <x v="12"/>
    <n v="100"/>
    <n v="4998"/>
    <x v="10"/>
    <x v="4"/>
    <x v="0"/>
    <x v="1"/>
  </r>
  <r>
    <n v="10169"/>
    <x v="7"/>
    <n v="63.84"/>
    <n v="2298.2399999999998"/>
    <x v="6"/>
    <x v="2"/>
    <x v="0"/>
    <x v="1"/>
  </r>
  <r>
    <n v="10270"/>
    <x v="13"/>
    <n v="96.84"/>
    <n v="4164.12"/>
    <x v="11"/>
    <x v="2"/>
    <x v="0"/>
    <x v="1"/>
  </r>
  <r>
    <n v="10270"/>
    <x v="14"/>
    <n v="100"/>
    <n v="4905.3900000000003"/>
    <x v="11"/>
    <x v="2"/>
    <x v="0"/>
    <x v="1"/>
  </r>
  <r>
    <n v="10139"/>
    <x v="15"/>
    <n v="100"/>
    <n v="3276.13"/>
    <x v="4"/>
    <x v="0"/>
    <x v="0"/>
    <x v="1"/>
  </r>
  <r>
    <n v="10148"/>
    <x v="16"/>
    <n v="100"/>
    <n v="2702.04"/>
    <x v="9"/>
    <x v="0"/>
    <x v="0"/>
    <x v="1"/>
  </r>
  <r>
    <n v="10148"/>
    <x v="17"/>
    <n v="100"/>
    <n v="3469.5"/>
    <x v="9"/>
    <x v="0"/>
    <x v="0"/>
    <x v="1"/>
  </r>
  <r>
    <n v="10148"/>
    <x v="18"/>
    <n v="100"/>
    <n v="5418.88"/>
    <x v="9"/>
    <x v="0"/>
    <x v="0"/>
    <x v="1"/>
  </r>
  <r>
    <n v="10223"/>
    <x v="19"/>
    <n v="100"/>
    <n v="3965.66"/>
    <x v="0"/>
    <x v="0"/>
    <x v="0"/>
    <x v="1"/>
  </r>
  <r>
    <n v="10223"/>
    <x v="9"/>
    <n v="100"/>
    <n v="9774.0300000000007"/>
    <x v="0"/>
    <x v="0"/>
    <x v="0"/>
    <x v="1"/>
  </r>
  <r>
    <n v="10270"/>
    <x v="5"/>
    <n v="88"/>
    <n v="4048"/>
    <x v="11"/>
    <x v="0"/>
    <x v="0"/>
    <x v="1"/>
  </r>
  <r>
    <n v="10342"/>
    <x v="12"/>
    <n v="100"/>
    <n v="5013.54"/>
    <x v="1"/>
    <x v="0"/>
    <x v="0"/>
    <x v="1"/>
  </r>
  <r>
    <n v="10361"/>
    <x v="9"/>
    <n v="72.33"/>
    <n v="3544.17"/>
    <x v="7"/>
    <x v="0"/>
    <x v="0"/>
    <x v="1"/>
  </r>
  <r>
    <n v="10370"/>
    <x v="20"/>
    <n v="100"/>
    <n v="2730"/>
    <x v="8"/>
    <x v="0"/>
    <x v="0"/>
    <x v="1"/>
  </r>
  <r>
    <n v="10120"/>
    <x v="5"/>
    <n v="58.15"/>
    <n v="2674.9"/>
    <x v="5"/>
    <x v="3"/>
    <x v="1"/>
    <x v="1"/>
  </r>
  <r>
    <n v="10120"/>
    <x v="21"/>
    <n v="100"/>
    <n v="4651.53"/>
    <x v="5"/>
    <x v="3"/>
    <x v="1"/>
    <x v="1"/>
  </r>
  <r>
    <n v="10139"/>
    <x v="22"/>
    <n v="100"/>
    <n v="7956.46"/>
    <x v="4"/>
    <x v="3"/>
    <x v="1"/>
    <x v="1"/>
  </r>
  <r>
    <n v="10148"/>
    <x v="23"/>
    <n v="60.26"/>
    <n v="1506.5"/>
    <x v="9"/>
    <x v="3"/>
    <x v="1"/>
    <x v="1"/>
  </r>
  <r>
    <n v="10148"/>
    <x v="23"/>
    <n v="100"/>
    <n v="4232"/>
    <x v="9"/>
    <x v="3"/>
    <x v="1"/>
    <x v="1"/>
  </r>
  <r>
    <n v="10169"/>
    <x v="18"/>
    <n v="70.760000000000005"/>
    <n v="2264.3200000000002"/>
    <x v="6"/>
    <x v="3"/>
    <x v="1"/>
    <x v="1"/>
  </r>
  <r>
    <n v="10347"/>
    <x v="8"/>
    <n v="100"/>
    <n v="2656.94"/>
    <x v="12"/>
    <x v="3"/>
    <x v="1"/>
    <x v="1"/>
  </r>
  <r>
    <n v="10347"/>
    <x v="14"/>
    <n v="100"/>
    <n v="4815.3"/>
    <x v="12"/>
    <x v="3"/>
    <x v="1"/>
    <x v="1"/>
  </r>
  <r>
    <n v="10391"/>
    <x v="24"/>
    <n v="100"/>
    <n v="8344.7099999999991"/>
    <x v="10"/>
    <x v="3"/>
    <x v="1"/>
    <x v="1"/>
  </r>
  <r>
    <n v="10139"/>
    <x v="5"/>
    <n v="100"/>
    <n v="5545.76"/>
    <x v="4"/>
    <x v="1"/>
    <x v="1"/>
    <x v="1"/>
  </r>
  <r>
    <n v="10342"/>
    <x v="2"/>
    <n v="65.45"/>
    <n v="3599.75"/>
    <x v="1"/>
    <x v="1"/>
    <x v="1"/>
    <x v="1"/>
  </r>
  <r>
    <n v="10347"/>
    <x v="25"/>
    <n v="100"/>
    <n v="3944.7"/>
    <x v="12"/>
    <x v="1"/>
    <x v="1"/>
    <x v="1"/>
  </r>
  <r>
    <n v="10120"/>
    <x v="13"/>
    <n v="76"/>
    <n v="3268"/>
    <x v="5"/>
    <x v="4"/>
    <x v="1"/>
    <x v="1"/>
  </r>
  <r>
    <n v="10120"/>
    <x v="0"/>
    <n v="82.21"/>
    <n v="3863.87"/>
    <x v="5"/>
    <x v="4"/>
    <x v="1"/>
    <x v="1"/>
  </r>
  <r>
    <n v="10148"/>
    <x v="0"/>
    <n v="100"/>
    <n v="5848.68"/>
    <x v="9"/>
    <x v="4"/>
    <x v="1"/>
    <x v="1"/>
  </r>
  <r>
    <n v="10169"/>
    <x v="24"/>
    <n v="100"/>
    <n v="4910.3999999999996"/>
    <x v="6"/>
    <x v="4"/>
    <x v="1"/>
    <x v="1"/>
  </r>
  <r>
    <n v="10223"/>
    <x v="8"/>
    <n v="67.2"/>
    <n v="1747.2"/>
    <x v="0"/>
    <x v="4"/>
    <x v="1"/>
    <x v="1"/>
  </r>
  <r>
    <n v="10223"/>
    <x v="6"/>
    <n v="69.31"/>
    <n v="2633.78"/>
    <x v="0"/>
    <x v="4"/>
    <x v="1"/>
    <x v="1"/>
  </r>
  <r>
    <n v="10347"/>
    <x v="17"/>
    <n v="100"/>
    <n v="4428"/>
    <x v="12"/>
    <x v="4"/>
    <x v="1"/>
    <x v="1"/>
  </r>
  <r>
    <n v="10342"/>
    <x v="25"/>
    <n v="100"/>
    <n v="5029.5"/>
    <x v="1"/>
    <x v="2"/>
    <x v="1"/>
    <x v="1"/>
  </r>
  <r>
    <n v="10347"/>
    <x v="26"/>
    <n v="100"/>
    <n v="6834.5"/>
    <x v="12"/>
    <x v="2"/>
    <x v="1"/>
    <x v="1"/>
  </r>
  <r>
    <n v="10391"/>
    <x v="15"/>
    <n v="85.1"/>
    <n v="2467.9"/>
    <x v="10"/>
    <x v="2"/>
    <x v="1"/>
    <x v="1"/>
  </r>
  <r>
    <n v="10120"/>
    <x v="3"/>
    <n v="83.79"/>
    <n v="2848.86"/>
    <x v="5"/>
    <x v="0"/>
    <x v="1"/>
    <x v="1"/>
  </r>
  <r>
    <n v="10169"/>
    <x v="25"/>
    <n v="100"/>
    <n v="5019.8999999999996"/>
    <x v="6"/>
    <x v="0"/>
    <x v="1"/>
    <x v="1"/>
  </r>
  <r>
    <n v="10361"/>
    <x v="11"/>
    <n v="72.42"/>
    <n v="3186.48"/>
    <x v="7"/>
    <x v="0"/>
    <x v="1"/>
    <x v="1"/>
  </r>
  <r>
    <n v="10391"/>
    <x v="18"/>
    <n v="45.25"/>
    <n v="1448"/>
    <x v="10"/>
    <x v="0"/>
    <x v="1"/>
    <x v="1"/>
  </r>
  <r>
    <n v="10420"/>
    <x v="27"/>
    <n v="92.95"/>
    <n v="6134.7"/>
    <x v="2"/>
    <x v="0"/>
    <x v="1"/>
    <x v="1"/>
  </r>
  <r>
    <n v="10120"/>
    <x v="28"/>
    <n v="100"/>
    <n v="3417.12"/>
    <x v="5"/>
    <x v="3"/>
    <x v="2"/>
    <x v="1"/>
  </r>
  <r>
    <n v="10139"/>
    <x v="20"/>
    <n v="90.06"/>
    <n v="1801.2"/>
    <x v="4"/>
    <x v="3"/>
    <x v="2"/>
    <x v="1"/>
  </r>
  <r>
    <n v="10148"/>
    <x v="4"/>
    <n v="73.62"/>
    <n v="2282.2199999999998"/>
    <x v="9"/>
    <x v="3"/>
    <x v="2"/>
    <x v="1"/>
  </r>
  <r>
    <n v="10148"/>
    <x v="0"/>
    <n v="56.85"/>
    <n v="2671.95"/>
    <x v="9"/>
    <x v="3"/>
    <x v="2"/>
    <x v="1"/>
  </r>
  <r>
    <n v="10270"/>
    <x v="4"/>
    <n v="96.24"/>
    <n v="2983.44"/>
    <x v="11"/>
    <x v="3"/>
    <x v="2"/>
    <x v="1"/>
  </r>
  <r>
    <n v="10342"/>
    <x v="29"/>
    <n v="100"/>
    <n v="3160.74"/>
    <x v="1"/>
    <x v="3"/>
    <x v="2"/>
    <x v="1"/>
  </r>
  <r>
    <n v="10370"/>
    <x v="30"/>
    <n v="65.63"/>
    <n v="2297.0500000000002"/>
    <x v="8"/>
    <x v="3"/>
    <x v="2"/>
    <x v="1"/>
  </r>
  <r>
    <n v="10370"/>
    <x v="17"/>
    <n v="100"/>
    <n v="3911.49"/>
    <x v="8"/>
    <x v="3"/>
    <x v="2"/>
    <x v="1"/>
  </r>
  <r>
    <n v="10391"/>
    <x v="28"/>
    <n v="100"/>
    <n v="2416.56"/>
    <x v="10"/>
    <x v="3"/>
    <x v="2"/>
    <x v="1"/>
  </r>
  <r>
    <n v="10391"/>
    <x v="30"/>
    <n v="100"/>
    <n v="5548.9"/>
    <x v="10"/>
    <x v="3"/>
    <x v="2"/>
    <x v="1"/>
  </r>
  <r>
    <n v="10169"/>
    <x v="31"/>
    <n v="80.55"/>
    <n v="3866.4"/>
    <x v="6"/>
    <x v="1"/>
    <x v="2"/>
    <x v="1"/>
  </r>
  <r>
    <n v="10169"/>
    <x v="3"/>
    <n v="100"/>
    <n v="3920.88"/>
    <x v="6"/>
    <x v="1"/>
    <x v="2"/>
    <x v="1"/>
  </r>
  <r>
    <n v="10347"/>
    <x v="15"/>
    <n v="100"/>
    <n v="3586.43"/>
    <x v="12"/>
    <x v="1"/>
    <x v="2"/>
    <x v="1"/>
  </r>
  <r>
    <n v="10169"/>
    <x v="28"/>
    <n v="94.58"/>
    <n v="2269.92"/>
    <x v="6"/>
    <x v="2"/>
    <x v="2"/>
    <x v="1"/>
  </r>
  <r>
    <n v="10370"/>
    <x v="17"/>
    <n v="56.85"/>
    <n v="1534.95"/>
    <x v="8"/>
    <x v="2"/>
    <x v="2"/>
    <x v="1"/>
  </r>
  <r>
    <n v="10370"/>
    <x v="23"/>
    <n v="100"/>
    <n v="3160.25"/>
    <x v="8"/>
    <x v="2"/>
    <x v="2"/>
    <x v="1"/>
  </r>
  <r>
    <n v="10125"/>
    <x v="18"/>
    <n v="100"/>
    <n v="3254.72"/>
    <x v="3"/>
    <x v="0"/>
    <x v="2"/>
    <x v="1"/>
  </r>
  <r>
    <n v="10148"/>
    <x v="3"/>
    <n v="100"/>
    <n v="3598.22"/>
    <x v="9"/>
    <x v="0"/>
    <x v="2"/>
    <x v="1"/>
  </r>
  <r>
    <n v="10347"/>
    <x v="31"/>
    <n v="100"/>
    <n v="4814.3999999999996"/>
    <x v="12"/>
    <x v="0"/>
    <x v="2"/>
    <x v="1"/>
  </r>
  <r>
    <n v="10391"/>
    <x v="11"/>
    <n v="38.5"/>
    <n v="1694"/>
    <x v="10"/>
    <x v="0"/>
    <x v="2"/>
    <x v="1"/>
  </r>
  <r>
    <n v="10361"/>
    <x v="16"/>
    <n v="95.2"/>
    <n v="2189.6"/>
    <x v="7"/>
    <x v="3"/>
    <x v="0"/>
    <x v="2"/>
  </r>
  <r>
    <n v="10391"/>
    <x v="28"/>
    <n v="100"/>
    <n v="4042.08"/>
    <x v="10"/>
    <x v="3"/>
    <x v="0"/>
    <x v="2"/>
  </r>
  <r>
    <n v="10420"/>
    <x v="21"/>
    <n v="100"/>
    <n v="3933.93"/>
    <x v="2"/>
    <x v="3"/>
    <x v="0"/>
    <x v="2"/>
  </r>
  <r>
    <n v="10347"/>
    <x v="12"/>
    <n v="49.6"/>
    <n v="2083.1999999999998"/>
    <x v="12"/>
    <x v="1"/>
    <x v="0"/>
    <x v="2"/>
  </r>
  <r>
    <n v="10347"/>
    <x v="3"/>
    <n v="64.959999999999994"/>
    <n v="2208.64"/>
    <x v="12"/>
    <x v="4"/>
    <x v="0"/>
    <x v="2"/>
  </r>
  <r>
    <n v="10361"/>
    <x v="20"/>
    <n v="60.54"/>
    <n v="1210.8"/>
    <x v="7"/>
    <x v="4"/>
    <x v="0"/>
    <x v="2"/>
  </r>
  <r>
    <n v="10361"/>
    <x v="23"/>
    <n v="62.46"/>
    <n v="1561.5"/>
    <x v="7"/>
    <x v="4"/>
    <x v="0"/>
    <x v="2"/>
  </r>
  <r>
    <n v="10370"/>
    <x v="15"/>
    <n v="57.53"/>
    <n v="1668.37"/>
    <x v="8"/>
    <x v="4"/>
    <x v="0"/>
    <x v="2"/>
  </r>
  <r>
    <n v="10169"/>
    <x v="3"/>
    <n v="50.21"/>
    <n v="1707.14"/>
    <x v="6"/>
    <x v="5"/>
    <x v="0"/>
    <x v="2"/>
  </r>
  <r>
    <n v="10270"/>
    <x v="14"/>
    <n v="63.35"/>
    <n v="1330.35"/>
    <x v="11"/>
    <x v="2"/>
    <x v="0"/>
    <x v="2"/>
  </r>
  <r>
    <n v="10270"/>
    <x v="18"/>
    <n v="85.72"/>
    <n v="2743.04"/>
    <x v="11"/>
    <x v="2"/>
    <x v="0"/>
    <x v="2"/>
  </r>
  <r>
    <n v="10342"/>
    <x v="2"/>
    <n v="100"/>
    <n v="6548.3"/>
    <x v="1"/>
    <x v="0"/>
    <x v="0"/>
    <x v="2"/>
  </r>
  <r>
    <n v="10361"/>
    <x v="28"/>
    <n v="45.39"/>
    <n v="1089.3599999999999"/>
    <x v="7"/>
    <x v="0"/>
    <x v="0"/>
    <x v="2"/>
  </r>
  <r>
    <n v="10361"/>
    <x v="24"/>
    <n v="82.59"/>
    <n v="2725.47"/>
    <x v="7"/>
    <x v="0"/>
    <x v="0"/>
    <x v="2"/>
  </r>
  <r>
    <n v="10361"/>
    <x v="8"/>
    <n v="100"/>
    <n v="2754.7"/>
    <x v="7"/>
    <x v="0"/>
    <x v="0"/>
    <x v="2"/>
  </r>
  <r>
    <n v="10420"/>
    <x v="32"/>
    <n v="43.49"/>
    <n v="652.35"/>
    <x v="2"/>
    <x v="0"/>
    <x v="0"/>
    <x v="2"/>
  </r>
  <r>
    <n v="10420"/>
    <x v="33"/>
    <n v="26.88"/>
    <n v="1209.5999999999999"/>
    <x v="2"/>
    <x v="0"/>
    <x v="0"/>
    <x v="2"/>
  </r>
  <r>
    <n v="10420"/>
    <x v="34"/>
    <n v="64.67"/>
    <n v="3880.2"/>
    <x v="2"/>
    <x v="0"/>
    <x v="0"/>
    <x v="2"/>
  </r>
  <r>
    <n v="10420"/>
    <x v="33"/>
    <n v="100"/>
    <n v="4977"/>
    <x v="2"/>
    <x v="0"/>
    <x v="0"/>
    <x v="2"/>
  </r>
  <r>
    <n v="10420"/>
    <x v="19"/>
    <n v="100"/>
    <n v="5283.6"/>
    <x v="2"/>
    <x v="0"/>
    <x v="0"/>
    <x v="2"/>
  </r>
  <r>
    <n v="10169"/>
    <x v="30"/>
    <n v="100"/>
    <n v="4639.25"/>
    <x v="6"/>
    <x v="3"/>
    <x v="1"/>
    <x v="2"/>
  </r>
  <r>
    <n v="10342"/>
    <x v="6"/>
    <n v="100"/>
    <n v="6276.46"/>
    <x v="1"/>
    <x v="3"/>
    <x v="1"/>
    <x v="2"/>
  </r>
  <r>
    <n v="10420"/>
    <x v="7"/>
    <n v="57.73"/>
    <n v="2078.2800000000002"/>
    <x v="2"/>
    <x v="3"/>
    <x v="1"/>
    <x v="2"/>
  </r>
  <r>
    <n v="10120"/>
    <x v="29"/>
    <n v="100"/>
    <n v="2461.36"/>
    <x v="5"/>
    <x v="1"/>
    <x v="1"/>
    <x v="2"/>
  </r>
  <r>
    <n v="10139"/>
    <x v="25"/>
    <n v="100"/>
    <n v="3095.4"/>
    <x v="4"/>
    <x v="1"/>
    <x v="1"/>
    <x v="2"/>
  </r>
  <r>
    <n v="10148"/>
    <x v="15"/>
    <n v="81.25"/>
    <n v="2356.25"/>
    <x v="9"/>
    <x v="1"/>
    <x v="1"/>
    <x v="2"/>
  </r>
  <r>
    <n v="10223"/>
    <x v="14"/>
    <n v="100"/>
    <n v="2475.27"/>
    <x v="0"/>
    <x v="1"/>
    <x v="1"/>
    <x v="2"/>
  </r>
  <r>
    <n v="10270"/>
    <x v="6"/>
    <n v="100"/>
    <n v="5383.08"/>
    <x v="11"/>
    <x v="1"/>
    <x v="1"/>
    <x v="2"/>
  </r>
  <r>
    <n v="10361"/>
    <x v="30"/>
    <n v="100"/>
    <n v="4277.3500000000004"/>
    <x v="7"/>
    <x v="1"/>
    <x v="1"/>
    <x v="2"/>
  </r>
  <r>
    <n v="10370"/>
    <x v="29"/>
    <n v="96.86"/>
    <n v="2130.92"/>
    <x v="8"/>
    <x v="1"/>
    <x v="1"/>
    <x v="2"/>
  </r>
  <r>
    <n v="10391"/>
    <x v="21"/>
    <n v="63.2"/>
    <n v="2464.8000000000002"/>
    <x v="10"/>
    <x v="1"/>
    <x v="1"/>
    <x v="2"/>
  </r>
  <r>
    <n v="10420"/>
    <x v="30"/>
    <n v="96.74"/>
    <n v="3385.9"/>
    <x v="2"/>
    <x v="1"/>
    <x v="1"/>
    <x v="2"/>
  </r>
  <r>
    <n v="10120"/>
    <x v="15"/>
    <n v="85.49"/>
    <n v="2479.21"/>
    <x v="5"/>
    <x v="4"/>
    <x v="1"/>
    <x v="2"/>
  </r>
  <r>
    <n v="10120"/>
    <x v="28"/>
    <n v="100"/>
    <n v="2584.8000000000002"/>
    <x v="5"/>
    <x v="4"/>
    <x v="1"/>
    <x v="2"/>
  </r>
  <r>
    <n v="10223"/>
    <x v="16"/>
    <n v="74.62"/>
    <n v="1716.26"/>
    <x v="0"/>
    <x v="4"/>
    <x v="1"/>
    <x v="2"/>
  </r>
  <r>
    <n v="10223"/>
    <x v="23"/>
    <n v="100"/>
    <n v="2534.75"/>
    <x v="0"/>
    <x v="4"/>
    <x v="1"/>
    <x v="2"/>
  </r>
  <r>
    <n v="10391"/>
    <x v="19"/>
    <n v="46.9"/>
    <n v="1735.3"/>
    <x v="10"/>
    <x v="4"/>
    <x v="1"/>
    <x v="2"/>
  </r>
  <r>
    <n v="10420"/>
    <x v="19"/>
    <n v="60.37"/>
    <n v="2233.69"/>
    <x v="2"/>
    <x v="4"/>
    <x v="1"/>
    <x v="2"/>
  </r>
  <r>
    <n v="10270"/>
    <x v="6"/>
    <n v="100"/>
    <n v="4775.08"/>
    <x v="11"/>
    <x v="2"/>
    <x v="1"/>
    <x v="2"/>
  </r>
  <r>
    <n v="10120"/>
    <x v="15"/>
    <n v="72.23"/>
    <n v="2094.67"/>
    <x v="5"/>
    <x v="0"/>
    <x v="1"/>
    <x v="2"/>
  </r>
  <r>
    <n v="10120"/>
    <x v="9"/>
    <n v="50.62"/>
    <n v="2480.38"/>
    <x v="5"/>
    <x v="0"/>
    <x v="1"/>
    <x v="2"/>
  </r>
  <r>
    <n v="10139"/>
    <x v="20"/>
    <n v="71.2"/>
    <n v="1424"/>
    <x v="4"/>
    <x v="0"/>
    <x v="1"/>
    <x v="2"/>
  </r>
  <r>
    <n v="10139"/>
    <x v="9"/>
    <n v="43.13"/>
    <n v="2113.37"/>
    <x v="4"/>
    <x v="0"/>
    <x v="1"/>
    <x v="2"/>
  </r>
  <r>
    <n v="10223"/>
    <x v="20"/>
    <n v="66.040000000000006"/>
    <n v="1320.8"/>
    <x v="0"/>
    <x v="0"/>
    <x v="1"/>
    <x v="2"/>
  </r>
  <r>
    <n v="10223"/>
    <x v="22"/>
    <n v="46.26"/>
    <n v="1896.66"/>
    <x v="0"/>
    <x v="0"/>
    <x v="1"/>
    <x v="2"/>
  </r>
  <r>
    <n v="10223"/>
    <x v="15"/>
    <n v="100"/>
    <n v="3199.86"/>
    <x v="0"/>
    <x v="0"/>
    <x v="1"/>
    <x v="2"/>
  </r>
  <r>
    <n v="10120"/>
    <x v="15"/>
    <n v="71.81"/>
    <n v="2082.4899999999998"/>
    <x v="5"/>
    <x v="3"/>
    <x v="2"/>
    <x v="2"/>
  </r>
  <r>
    <n v="10120"/>
    <x v="15"/>
    <n v="96.34"/>
    <n v="2793.86"/>
    <x v="5"/>
    <x v="3"/>
    <x v="2"/>
    <x v="2"/>
  </r>
  <r>
    <n v="10120"/>
    <x v="30"/>
    <n v="98.05"/>
    <n v="3431.75"/>
    <x v="5"/>
    <x v="3"/>
    <x v="2"/>
    <x v="2"/>
  </r>
  <r>
    <n v="10148"/>
    <x v="17"/>
    <n v="100"/>
    <n v="3528.36"/>
    <x v="9"/>
    <x v="3"/>
    <x v="2"/>
    <x v="2"/>
  </r>
  <r>
    <n v="10223"/>
    <x v="10"/>
    <n v="60.57"/>
    <n v="1695.96"/>
    <x v="0"/>
    <x v="3"/>
    <x v="2"/>
    <x v="2"/>
  </r>
  <r>
    <n v="10342"/>
    <x v="8"/>
    <n v="55.95"/>
    <n v="1454.7"/>
    <x v="1"/>
    <x v="3"/>
    <x v="2"/>
    <x v="2"/>
  </r>
  <r>
    <n v="10342"/>
    <x v="21"/>
    <n v="40.4"/>
    <n v="1575.6"/>
    <x v="1"/>
    <x v="3"/>
    <x v="2"/>
    <x v="2"/>
  </r>
  <r>
    <n v="10342"/>
    <x v="23"/>
    <n v="66.739999999999995"/>
    <n v="1668.5"/>
    <x v="1"/>
    <x v="3"/>
    <x v="2"/>
    <x v="2"/>
  </r>
  <r>
    <n v="10342"/>
    <x v="31"/>
    <n v="62.45"/>
    <n v="2997.6"/>
    <x v="1"/>
    <x v="3"/>
    <x v="2"/>
    <x v="2"/>
  </r>
  <r>
    <n v="10347"/>
    <x v="33"/>
    <n v="100"/>
    <n v="5884.65"/>
    <x v="12"/>
    <x v="3"/>
    <x v="2"/>
    <x v="2"/>
  </r>
  <r>
    <n v="10361"/>
    <x v="3"/>
    <n v="100"/>
    <n v="3871.92"/>
    <x v="7"/>
    <x v="3"/>
    <x v="2"/>
    <x v="2"/>
  </r>
  <r>
    <n v="10370"/>
    <x v="29"/>
    <n v="100"/>
    <n v="3949"/>
    <x v="8"/>
    <x v="3"/>
    <x v="2"/>
    <x v="2"/>
  </r>
  <r>
    <n v="10420"/>
    <x v="7"/>
    <n v="63.57"/>
    <n v="2288.52"/>
    <x v="2"/>
    <x v="3"/>
    <x v="2"/>
    <x v="2"/>
  </r>
  <r>
    <n v="10420"/>
    <x v="8"/>
    <n v="100"/>
    <n v="2617.16"/>
    <x v="2"/>
    <x v="3"/>
    <x v="2"/>
    <x v="2"/>
  </r>
  <r>
    <n v="10169"/>
    <x v="8"/>
    <n v="39.83"/>
    <n v="1035.58"/>
    <x v="6"/>
    <x v="1"/>
    <x v="2"/>
    <x v="2"/>
  </r>
  <r>
    <n v="10270"/>
    <x v="10"/>
    <n v="100"/>
    <n v="4094.72"/>
    <x v="11"/>
    <x v="1"/>
    <x v="2"/>
    <x v="2"/>
  </r>
  <r>
    <n v="10270"/>
    <x v="18"/>
    <n v="100"/>
    <n v="4302.08"/>
    <x v="11"/>
    <x v="1"/>
    <x v="2"/>
    <x v="2"/>
  </r>
  <r>
    <n v="10148"/>
    <x v="14"/>
    <n v="73.599999999999994"/>
    <n v="1545.6"/>
    <x v="9"/>
    <x v="2"/>
    <x v="2"/>
    <x v="2"/>
  </r>
  <r>
    <n v="10148"/>
    <x v="3"/>
    <n v="100"/>
    <n v="4392.12"/>
    <x v="9"/>
    <x v="2"/>
    <x v="2"/>
    <x v="2"/>
  </r>
  <r>
    <n v="10169"/>
    <x v="6"/>
    <n v="68.39"/>
    <n v="2598.8200000000002"/>
    <x v="6"/>
    <x v="2"/>
    <x v="2"/>
    <x v="2"/>
  </r>
  <r>
    <n v="10270"/>
    <x v="11"/>
    <n v="58.36"/>
    <n v="2567.84"/>
    <x v="11"/>
    <x v="2"/>
    <x v="2"/>
    <x v="2"/>
  </r>
  <r>
    <n v="10347"/>
    <x v="33"/>
    <n v="100"/>
    <n v="4948.2"/>
    <x v="12"/>
    <x v="2"/>
    <x v="2"/>
    <x v="2"/>
  </r>
  <r>
    <n v="10223"/>
    <x v="18"/>
    <n v="91.29"/>
    <n v="2921.28"/>
    <x v="0"/>
    <x v="0"/>
    <x v="2"/>
    <x v="2"/>
  </r>
  <r>
    <n v="10347"/>
    <x v="14"/>
    <n v="58.95"/>
    <n v="1237.95"/>
    <x v="12"/>
    <x v="0"/>
    <x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B98075-EC53-4F2D-95A3-174CB4A9C839}" name="PivotTable1"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
  <location ref="A15:C22" firstHeaderRow="0" firstDataRow="1" firstDataCol="1"/>
  <pivotFields count="8">
    <pivotField showAll="0"/>
    <pivotField dataField="1" showAll="0">
      <items count="36">
        <item x="32"/>
        <item x="20"/>
        <item x="14"/>
        <item x="29"/>
        <item x="16"/>
        <item x="28"/>
        <item x="23"/>
        <item x="8"/>
        <item x="17"/>
        <item x="10"/>
        <item x="15"/>
        <item x="25"/>
        <item x="4"/>
        <item x="18"/>
        <item x="24"/>
        <item x="3"/>
        <item x="30"/>
        <item x="7"/>
        <item x="19"/>
        <item x="6"/>
        <item x="21"/>
        <item x="1"/>
        <item x="22"/>
        <item x="12"/>
        <item x="13"/>
        <item x="11"/>
        <item x="33"/>
        <item x="5"/>
        <item x="0"/>
        <item x="31"/>
        <item x="9"/>
        <item x="26"/>
        <item x="2"/>
        <item x="34"/>
        <item x="27"/>
        <item t="default"/>
      </items>
    </pivotField>
    <pivotField numFmtId="164" showAll="0"/>
    <pivotField dataField="1" numFmtId="164" showAll="0"/>
    <pivotField numFmtId="14" showAll="0"/>
    <pivotField axis="axisRow" showAll="0">
      <items count="7">
        <item x="3"/>
        <item x="1"/>
        <item x="4"/>
        <item x="5"/>
        <item x="2"/>
        <item x="0"/>
        <item t="default"/>
      </items>
    </pivotField>
    <pivotField showAll="0">
      <items count="4">
        <item x="0"/>
        <item x="1"/>
        <item x="2"/>
        <item t="default"/>
      </items>
    </pivotField>
    <pivotField showAll="0">
      <items count="4">
        <item x="0"/>
        <item x="1"/>
        <item x="2"/>
        <item t="default"/>
      </items>
    </pivotField>
  </pivotFields>
  <rowFields count="1">
    <field x="5"/>
  </rowFields>
  <rowItems count="7">
    <i>
      <x/>
    </i>
    <i>
      <x v="1"/>
    </i>
    <i>
      <x v="2"/>
    </i>
    <i>
      <x v="3"/>
    </i>
    <i>
      <x v="4"/>
    </i>
    <i>
      <x v="5"/>
    </i>
    <i t="grand">
      <x/>
    </i>
  </rowItems>
  <colFields count="1">
    <field x="-2"/>
  </colFields>
  <colItems count="2">
    <i>
      <x/>
    </i>
    <i i="1">
      <x v="1"/>
    </i>
  </colItems>
  <dataFields count="2">
    <dataField name="Sum of SALES" fld="3" baseField="0" baseItem="0" numFmtId="164"/>
    <dataField name="Sum of QUANTITYORDERED" fld="1"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D4F96A-3FD4-4E64-8397-471B3E5DAB02}" name="PivotTable3"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location ref="A11:E19" firstHeaderRow="1" firstDataRow="2" firstDataCol="1"/>
  <pivotFields count="8">
    <pivotField showAll="0"/>
    <pivotField showAll="0"/>
    <pivotField numFmtId="164" showAll="0"/>
    <pivotField dataField="1" numFmtId="164" showAll="0"/>
    <pivotField numFmtId="14" showAll="0">
      <items count="14">
        <item x="5"/>
        <item x="3"/>
        <item x="4"/>
        <item x="9"/>
        <item x="6"/>
        <item x="0"/>
        <item x="11"/>
        <item x="1"/>
        <item x="12"/>
        <item x="7"/>
        <item x="8"/>
        <item x="10"/>
        <item x="2"/>
        <item t="default"/>
      </items>
    </pivotField>
    <pivotField axis="axisRow" showAll="0">
      <items count="7">
        <item x="3"/>
        <item x="1"/>
        <item x="4"/>
        <item x="5"/>
        <item x="2"/>
        <item x="0"/>
        <item t="default"/>
      </items>
    </pivotField>
    <pivotField axis="axisCol" showAll="0">
      <items count="4">
        <item x="0"/>
        <item x="1"/>
        <item x="2"/>
        <item t="default"/>
      </items>
    </pivotField>
    <pivotField showAll="0">
      <items count="4">
        <item x="0"/>
        <item x="1"/>
        <item x="2"/>
        <item t="default"/>
      </items>
    </pivotField>
  </pivotFields>
  <rowFields count="1">
    <field x="5"/>
  </rowFields>
  <rowItems count="7">
    <i>
      <x/>
    </i>
    <i>
      <x v="1"/>
    </i>
    <i>
      <x v="2"/>
    </i>
    <i>
      <x v="3"/>
    </i>
    <i>
      <x v="4"/>
    </i>
    <i>
      <x v="5"/>
    </i>
    <i t="grand">
      <x/>
    </i>
  </rowItems>
  <colFields count="1">
    <field x="6"/>
  </colFields>
  <colItems count="4">
    <i>
      <x/>
    </i>
    <i>
      <x v="1"/>
    </i>
    <i>
      <x v="2"/>
    </i>
    <i t="grand">
      <x/>
    </i>
  </colItems>
  <dataFields count="1">
    <dataField name="Sum of SALES" fld="3" baseField="0" baseItem="0" numFmtId="164"/>
  </dataFields>
  <chartFormats count="1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 chart="0" format="4" series="1">
      <pivotArea type="data" outline="0" fieldPosition="0">
        <references count="2">
          <reference field="4294967294" count="1" selected="0">
            <x v="0"/>
          </reference>
          <reference field="5" count="1" selected="0">
            <x v="4"/>
          </reference>
        </references>
      </pivotArea>
    </chartFormat>
    <chartFormat chart="0" format="5" series="1">
      <pivotArea type="data" outline="0" fieldPosition="0">
        <references count="2">
          <reference field="4294967294" count="1" selected="0">
            <x v="0"/>
          </reference>
          <reference field="5" count="1" selected="0">
            <x v="5"/>
          </reference>
        </references>
      </pivotArea>
    </chartFormat>
    <chartFormat chart="0" format="6" series="1">
      <pivotArea type="data" outline="0" fieldPosition="0">
        <references count="2">
          <reference field="4294967294" count="1" selected="0">
            <x v="0"/>
          </reference>
          <reference field="6" count="1" selected="0">
            <x v="1"/>
          </reference>
        </references>
      </pivotArea>
    </chartFormat>
    <chartFormat chart="0" format="7" series="1">
      <pivotArea type="data" outline="0" fieldPosition="0">
        <references count="2">
          <reference field="4294967294" count="1" selected="0">
            <x v="0"/>
          </reference>
          <reference field="6" count="1" selected="0">
            <x v="2"/>
          </reference>
        </references>
      </pivotArea>
    </chartFormat>
    <chartFormat chart="1" format="0" series="1">
      <pivotArea type="data" outline="0" fieldPosition="0">
        <references count="2">
          <reference field="4294967294" count="1" selected="0">
            <x v="0"/>
          </reference>
          <reference field="6" count="1" selected="0">
            <x v="0"/>
          </reference>
        </references>
      </pivotArea>
    </chartFormat>
    <chartFormat chart="1" format="1" series="1">
      <pivotArea type="data" outline="0" fieldPosition="0">
        <references count="2">
          <reference field="4294967294" count="1" selected="0">
            <x v="0"/>
          </reference>
          <reference field="6" count="1" selected="0">
            <x v="1"/>
          </reference>
        </references>
      </pivotArea>
    </chartFormat>
    <chartFormat chart="1" format="2" series="1">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B82B2FA-38ED-4DD3-A409-CD04465F618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3:E21" firstHeaderRow="1" firstDataRow="2" firstDataCol="1"/>
  <pivotFields count="29">
    <pivotField showAll="0"/>
    <pivotField showAll="0"/>
    <pivotField numFmtId="164" showAll="0"/>
    <pivotField showAll="0"/>
    <pivotField dataField="1" numFmtId="164" showAll="0"/>
    <pivotField numFmtId="14" showAll="0">
      <items count="14">
        <item x="4"/>
        <item x="10"/>
        <item x="11"/>
        <item x="8"/>
        <item x="7"/>
        <item x="0"/>
        <item x="1"/>
        <item x="9"/>
        <item x="2"/>
        <item x="5"/>
        <item x="6"/>
        <item x="3"/>
        <item x="12"/>
        <item t="default"/>
      </items>
    </pivotField>
    <pivotField showAll="0"/>
    <pivotField showAll="0"/>
    <pivotField showAll="0"/>
    <pivotField showAll="0"/>
    <pivotField showAll="0">
      <items count="4">
        <item x="2"/>
        <item x="0"/>
        <item x="1"/>
        <item t="default"/>
      </items>
    </pivotField>
    <pivotField axis="axisRow" showAll="0">
      <items count="7">
        <item x="1"/>
        <item x="0"/>
        <item x="4"/>
        <item x="5"/>
        <item x="2"/>
        <item x="3"/>
        <item t="default"/>
      </items>
    </pivotField>
    <pivotField showAll="0"/>
    <pivotField showAll="0"/>
    <pivotField showAll="0"/>
    <pivotField showAll="0"/>
    <pivotField showAll="0"/>
    <pivotField showAll="0"/>
    <pivotField showAll="0"/>
    <pivotField showAll="0"/>
    <pivotField showAll="0"/>
    <pivotField showAll="0"/>
    <pivotField showAll="0">
      <items count="2">
        <item x="0"/>
        <item t="default"/>
      </items>
    </pivotField>
    <pivotField showAll="0">
      <items count="4">
        <item x="0"/>
        <item x="1"/>
        <item x="2"/>
        <item t="default"/>
      </items>
    </pivotField>
    <pivotField axis="axisCol" showAll="0">
      <items count="4">
        <item x="1"/>
        <item x="2"/>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1"/>
  </rowFields>
  <rowItems count="7">
    <i>
      <x/>
    </i>
    <i>
      <x v="1"/>
    </i>
    <i>
      <x v="2"/>
    </i>
    <i>
      <x v="3"/>
    </i>
    <i>
      <x v="4"/>
    </i>
    <i>
      <x v="5"/>
    </i>
    <i t="grand">
      <x/>
    </i>
  </rowItems>
  <colFields count="1">
    <field x="24"/>
  </colFields>
  <colItems count="4">
    <i>
      <x/>
    </i>
    <i>
      <x v="1"/>
    </i>
    <i>
      <x v="2"/>
    </i>
    <i t="grand">
      <x/>
    </i>
  </colItems>
  <dataFields count="1">
    <dataField name="Sum of TOTAL SALES" fld="4" baseField="0" baseItem="0" numFmtId="164"/>
  </dataFields>
  <chartFormats count="3">
    <chartFormat chart="3" format="0" series="1">
      <pivotArea type="data" outline="0" fieldPosition="0">
        <references count="2">
          <reference field="4294967294" count="1" selected="0">
            <x v="0"/>
          </reference>
          <reference field="24" count="1" selected="0">
            <x v="0"/>
          </reference>
        </references>
      </pivotArea>
    </chartFormat>
    <chartFormat chart="3" format="1" series="1">
      <pivotArea type="data" outline="0" fieldPosition="0">
        <references count="2">
          <reference field="4294967294" count="1" selected="0">
            <x v="0"/>
          </reference>
          <reference field="24" count="1" selected="0">
            <x v="1"/>
          </reference>
        </references>
      </pivotArea>
    </chartFormat>
    <chartFormat chart="3" format="2" series="1">
      <pivotArea type="data" outline="0" fieldPosition="0">
        <references count="2">
          <reference field="4294967294" count="1" selected="0">
            <x v="0"/>
          </reference>
          <reference field="2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27C129C-34C2-4FD7-8DC2-12449A75D2E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14:C24" firstHeaderRow="0" firstDataRow="1" firstDataCol="1"/>
  <pivotFields count="29">
    <pivotField showAll="0"/>
    <pivotField dataField="1" showAll="0"/>
    <pivotField numFmtId="164" showAll="0"/>
    <pivotField showAll="0"/>
    <pivotField dataField="1" numFmtId="164" showAll="0"/>
    <pivotField numFmtId="14" showAll="0">
      <items count="14">
        <item x="4"/>
        <item x="10"/>
        <item x="11"/>
        <item x="8"/>
        <item x="7"/>
        <item x="0"/>
        <item x="1"/>
        <item x="9"/>
        <item x="2"/>
        <item x="5"/>
        <item x="6"/>
        <item x="3"/>
        <item x="12"/>
        <item t="default"/>
      </items>
    </pivotField>
    <pivotField showAll="0"/>
    <pivotField showAll="0"/>
    <pivotField showAll="0"/>
    <pivotField axis="axisRow" showAll="0">
      <items count="10">
        <item x="5"/>
        <item x="2"/>
        <item x="3"/>
        <item x="4"/>
        <item x="6"/>
        <item x="7"/>
        <item x="1"/>
        <item x="0"/>
        <item x="8"/>
        <item t="default"/>
      </items>
    </pivotField>
    <pivotField showAll="0">
      <items count="4">
        <item x="2"/>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9"/>
  </rowFields>
  <rowItems count="10">
    <i>
      <x/>
    </i>
    <i>
      <x v="1"/>
    </i>
    <i>
      <x v="2"/>
    </i>
    <i>
      <x v="3"/>
    </i>
    <i>
      <x v="4"/>
    </i>
    <i>
      <x v="5"/>
    </i>
    <i>
      <x v="6"/>
    </i>
    <i>
      <x v="7"/>
    </i>
    <i>
      <x v="8"/>
    </i>
    <i t="grand">
      <x/>
    </i>
  </rowItems>
  <colFields count="1">
    <field x="-2"/>
  </colFields>
  <colItems count="2">
    <i>
      <x/>
    </i>
    <i i="1">
      <x v="1"/>
    </i>
  </colItems>
  <dataFields count="2">
    <dataField name="Sum of TOTAL SALES" fld="4" baseField="0" baseItem="0" numFmtId="164"/>
    <dataField name="Sum of QUANTITYORDERED" fld="1"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ID2" xr10:uid="{DB128BCD-D393-41F7-B5CA-972500D9A5F0}" sourceName="YEAR_ID">
  <pivotTables>
    <pivotTable tabId="5" name="PivotTable3"/>
  </pivotTables>
  <data>
    <tabular pivotCacheId="2020043760">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LINE" xr10:uid="{4AFA8C94-B31B-4455-8FDC-044A243A9274}" sourceName="PRODUCTLINE">
  <pivotTables>
    <pivotTable tabId="5" name="PivotTable3"/>
  </pivotTables>
  <data>
    <tabular pivotCacheId="2020043760">
      <items count="6">
        <i x="1" s="1"/>
        <i x="0" s="1"/>
        <i x="4" s="1"/>
        <i x="5"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ID3" xr10:uid="{91D75B7D-4F35-46D8-B688-BE654A51AB06}" sourceName="YEAR_ID">
  <pivotTables>
    <pivotTable tabId="3" name="PivotTable1"/>
  </pivotTables>
  <data>
    <tabular pivotCacheId="2020043760">
      <items count="3">
        <i x="2" s="1"/>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0E419D29-154E-40E0-8A7E-54D7E5C53005}" sourceName="CITY">
  <pivotTables>
    <pivotTable tabId="6" name="PivotTable1"/>
  </pivotTables>
  <data>
    <tabular pivotCacheId="515434420">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ALSIZE" xr10:uid="{8EA6B1EA-22C2-4569-8770-42A42095AE31}" sourceName="DEALSIZE">
  <pivotTables>
    <pivotTable tabId="6" name="PivotTable1"/>
  </pivotTables>
  <data>
    <tabular pivotCacheId="515434420">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ALSIZE1" xr10:uid="{1C3B80B9-ADDF-40B9-91BA-1964122597D2}" sourceName="DEALSIZE">
  <pivotTables>
    <pivotTable tabId="4" name="PivotTable3"/>
  </pivotTables>
  <data>
    <tabular pivotCacheId="515434420">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634139BD-D084-4FA2-805F-558848C4903C}" cache="Slicer_CITY" caption="CITY" rowHeight="234950"/>
  <slicer name="DEALSIZE" xr10:uid="{253A6CF5-30D4-4A33-AF47-1A71FA0C21C4}" cache="Slicer_DEALSIZE" caption="DEALSIZ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ALSIZE 1" xr10:uid="{649F8E0D-75F4-46A7-8776-FC5CEFC06ECC}" cache="Slicer_DEALSIZE1" caption="DEALSIZE"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_ID 2" xr10:uid="{CEB24776-C699-4C96-9926-B4FB7BBF32A9}" cache="Slicer_YEAR_ID2" caption="YEAR_ID" rowHeight="234950"/>
  <slicer name="PRODUCTLINE" xr10:uid="{10B1A9F9-98CB-4C5D-8F6C-77140B0B0E98}" cache="Slicer_PRODUCTLINE" caption="PRODUCTLINE"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_ID 3" xr10:uid="{D0708186-D5A0-41AA-A9CF-A3407A741784}" cache="Slicer_YEAR_ID3" caption="YEAR_ID"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D95425-8370-4559-AA92-C33C12ADB651}" name="Table2" displayName="Table2" ref="A3:E12" totalsRowShown="0" headerRowDxfId="0">
  <autoFilter ref="A3:E12" xr:uid="{C0D95425-8370-4559-AA92-C33C12ADB651}"/>
  <tableColumns count="5">
    <tableColumn id="1" xr3:uid="{2EC0C646-AF2F-4BEF-A1E8-EC2BF3558249}" name="Serial No."/>
    <tableColumn id="2" xr3:uid="{E26214D2-F976-42C9-98CD-FD88B38F4691}" name="Insights"/>
    <tableColumn id="3" xr3:uid="{B0828DEF-A445-4203-89FE-02A14BF751AE}" name="Required Action"/>
    <tableColumn id="4" xr3:uid="{05E86B7C-3C23-4CCF-B930-56381A873778}" name="Possible Outcome "/>
    <tableColumn id="5" xr3:uid="{4EB9AC6E-484A-4E60-8A89-42DFC76052B7}" name="Priority Leve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156"/>
  <sheetViews>
    <sheetView topLeftCell="G1" zoomScale="85" zoomScaleNormal="86" workbookViewId="0">
      <selection activeCell="X8" sqref="X8"/>
    </sheetView>
  </sheetViews>
  <sheetFormatPr defaultRowHeight="14.4" x14ac:dyDescent="0.3"/>
  <cols>
    <col min="1" max="1" width="21.21875" style="2" customWidth="1"/>
    <col min="2" max="2" width="28.77734375" style="2" bestFit="1" customWidth="1"/>
    <col min="3" max="3" width="18.5546875" style="2" bestFit="1" customWidth="1"/>
    <col min="4" max="4" width="30" style="2" customWidth="1"/>
    <col min="5" max="5" width="20.88671875" style="2" customWidth="1"/>
    <col min="6" max="6" width="21.21875" style="2" customWidth="1"/>
    <col min="7" max="7" width="21.33203125" style="2" customWidth="1"/>
    <col min="8" max="8" width="9.88671875" style="2" customWidth="1"/>
    <col min="9" max="9" width="17.109375" style="2" customWidth="1"/>
    <col min="10" max="10" width="19.21875" style="2" bestFit="1" customWidth="1"/>
    <col min="11" max="11" width="10.44140625" style="2" customWidth="1"/>
    <col min="12" max="12" width="22.5546875" style="2" customWidth="1"/>
    <col min="13" max="13" width="11.77734375" style="2" customWidth="1"/>
    <col min="14" max="14" width="18.33203125" style="2" customWidth="1"/>
    <col min="15" max="15" width="29.109375" style="2" customWidth="1"/>
    <col min="16" max="16" width="24.88671875" style="2" customWidth="1"/>
    <col min="17" max="17" width="40.109375" style="2" customWidth="1"/>
    <col min="18" max="18" width="18.33203125" style="2" customWidth="1"/>
    <col min="19" max="19" width="12.44140625" style="2" bestFit="1" customWidth="1"/>
    <col min="20" max="20" width="13.109375" style="2" bestFit="1" customWidth="1"/>
    <col min="21" max="21" width="16.21875" style="2" customWidth="1"/>
    <col min="22" max="22" width="12.109375" style="2" customWidth="1"/>
    <col min="23" max="23" width="14.109375" style="2" customWidth="1"/>
    <col min="24" max="24" width="27.5546875" style="2" bestFit="1" customWidth="1"/>
    <col min="25" max="25" width="28.44140625" style="2" bestFit="1" customWidth="1"/>
    <col min="26" max="26" width="13.44140625" style="2" bestFit="1" customWidth="1"/>
    <col min="27" max="27" width="8.88671875" style="8"/>
    <col min="28" max="28" width="12.5546875" bestFit="1" customWidth="1"/>
  </cols>
  <sheetData>
    <row r="1" spans="1:28" ht="14.4" customHeight="1" x14ac:dyDescent="0.3">
      <c r="A1" s="12" t="s">
        <v>0</v>
      </c>
      <c r="B1" s="12" t="s">
        <v>1</v>
      </c>
      <c r="C1" s="12" t="s">
        <v>2</v>
      </c>
      <c r="D1" s="12" t="s">
        <v>3</v>
      </c>
      <c r="E1" s="12" t="s">
        <v>162</v>
      </c>
      <c r="F1" s="12" t="s">
        <v>4</v>
      </c>
      <c r="G1" s="12" t="s">
        <v>5</v>
      </c>
      <c r="H1" s="12" t="s">
        <v>6</v>
      </c>
      <c r="I1" s="12" t="s">
        <v>7</v>
      </c>
      <c r="J1" s="12" t="s">
        <v>149</v>
      </c>
      <c r="K1" s="12" t="s">
        <v>8</v>
      </c>
      <c r="L1" s="12" t="s">
        <v>9</v>
      </c>
      <c r="M1" s="12" t="s">
        <v>10</v>
      </c>
      <c r="N1" s="12" t="s">
        <v>11</v>
      </c>
      <c r="O1" s="12" t="s">
        <v>161</v>
      </c>
      <c r="P1" s="12" t="s">
        <v>12</v>
      </c>
      <c r="Q1" s="12" t="s">
        <v>13</v>
      </c>
      <c r="R1" s="12" t="s">
        <v>14</v>
      </c>
      <c r="S1" s="12" t="s">
        <v>15</v>
      </c>
      <c r="T1" s="12" t="s">
        <v>16</v>
      </c>
      <c r="U1" s="12" t="s">
        <v>17</v>
      </c>
      <c r="V1" s="12" t="s">
        <v>18</v>
      </c>
      <c r="W1" s="12" t="s">
        <v>19</v>
      </c>
      <c r="X1" s="12" t="s">
        <v>20</v>
      </c>
      <c r="Y1" s="12" t="s">
        <v>21</v>
      </c>
      <c r="Z1" s="12" t="s">
        <v>22</v>
      </c>
    </row>
    <row r="2" spans="1:28" x14ac:dyDescent="0.3">
      <c r="A2" s="2">
        <v>10120</v>
      </c>
      <c r="B2" s="2">
        <v>46</v>
      </c>
      <c r="C2" s="2">
        <v>100</v>
      </c>
      <c r="D2" s="2">
        <v>2</v>
      </c>
      <c r="E2" s="2">
        <v>9264.86</v>
      </c>
      <c r="F2" s="13">
        <v>37740</v>
      </c>
      <c r="G2" s="2" t="s">
        <v>73</v>
      </c>
      <c r="H2" s="2">
        <v>2</v>
      </c>
      <c r="I2" s="2">
        <v>5</v>
      </c>
      <c r="J2" s="2" t="str">
        <f t="shared" ref="J2:J33" si="0">TEXT(DATE(2000,A2,1),"mmmm")</f>
        <v>April</v>
      </c>
      <c r="K2" s="2">
        <v>2005</v>
      </c>
      <c r="L2" s="2" t="s">
        <v>38</v>
      </c>
      <c r="M2" s="2">
        <v>73</v>
      </c>
      <c r="N2" s="2" t="s">
        <v>100</v>
      </c>
      <c r="O2" s="2" t="s">
        <v>40</v>
      </c>
      <c r="P2" s="2" t="s">
        <v>41</v>
      </c>
      <c r="Q2" s="2" t="s">
        <v>42</v>
      </c>
      <c r="R2" s="2" t="s">
        <v>43</v>
      </c>
      <c r="S2" s="2" t="s">
        <v>44</v>
      </c>
      <c r="T2" s="2" t="s">
        <v>45</v>
      </c>
      <c r="U2" s="2" t="s">
        <v>46</v>
      </c>
      <c r="V2" s="2" t="s">
        <v>33</v>
      </c>
      <c r="W2" s="2" t="s">
        <v>34</v>
      </c>
      <c r="X2" s="2" t="s">
        <v>47</v>
      </c>
      <c r="Y2" s="2" t="s">
        <v>48</v>
      </c>
      <c r="Z2" s="2" t="s">
        <v>37</v>
      </c>
    </row>
    <row r="3" spans="1:28" x14ac:dyDescent="0.3">
      <c r="A3" s="2">
        <v>10120</v>
      </c>
      <c r="B3" s="2">
        <v>39</v>
      </c>
      <c r="C3" s="2">
        <v>100</v>
      </c>
      <c r="D3" s="2">
        <v>10</v>
      </c>
      <c r="E3" s="2">
        <v>4651.53</v>
      </c>
      <c r="F3" s="13">
        <v>37740</v>
      </c>
      <c r="G3" s="2" t="s">
        <v>23</v>
      </c>
      <c r="H3" s="2">
        <v>4</v>
      </c>
      <c r="I3" s="2">
        <v>11</v>
      </c>
      <c r="J3" s="2" t="str">
        <f t="shared" si="0"/>
        <v>April</v>
      </c>
      <c r="K3" s="2">
        <v>2004</v>
      </c>
      <c r="L3" s="2" t="s">
        <v>38</v>
      </c>
      <c r="M3" s="2">
        <v>141</v>
      </c>
      <c r="N3" s="2" t="s">
        <v>68</v>
      </c>
      <c r="O3" s="2" t="s">
        <v>26</v>
      </c>
      <c r="P3" s="2" t="s">
        <v>27</v>
      </c>
      <c r="Q3" s="2" t="s">
        <v>28</v>
      </c>
      <c r="R3" s="2" t="s">
        <v>29</v>
      </c>
      <c r="S3" s="2" t="s">
        <v>30</v>
      </c>
      <c r="T3" s="2" t="s">
        <v>31</v>
      </c>
      <c r="U3" s="2" t="s">
        <v>32</v>
      </c>
      <c r="V3" s="2" t="s">
        <v>33</v>
      </c>
      <c r="W3" s="2" t="s">
        <v>34</v>
      </c>
      <c r="X3" s="2" t="s">
        <v>35</v>
      </c>
      <c r="Y3" s="2" t="s">
        <v>36</v>
      </c>
      <c r="Z3" s="2" t="s">
        <v>37</v>
      </c>
    </row>
    <row r="4" spans="1:28" x14ac:dyDescent="0.3">
      <c r="A4" s="2">
        <v>10120</v>
      </c>
      <c r="B4" s="2">
        <v>46</v>
      </c>
      <c r="C4" s="2">
        <v>58.15</v>
      </c>
      <c r="D4" s="2">
        <v>4</v>
      </c>
      <c r="E4" s="2">
        <v>2674.9</v>
      </c>
      <c r="F4" s="13">
        <v>37740</v>
      </c>
      <c r="G4" s="2" t="s">
        <v>23</v>
      </c>
      <c r="H4" s="2">
        <v>4</v>
      </c>
      <c r="I4" s="2">
        <v>11</v>
      </c>
      <c r="J4" s="2" t="str">
        <f t="shared" si="0"/>
        <v>April</v>
      </c>
      <c r="K4" s="2">
        <v>2004</v>
      </c>
      <c r="L4" s="2" t="s">
        <v>38</v>
      </c>
      <c r="M4" s="2">
        <v>169</v>
      </c>
      <c r="N4" s="2" t="s">
        <v>89</v>
      </c>
      <c r="O4" s="2" t="s">
        <v>26</v>
      </c>
      <c r="P4" s="2" t="s">
        <v>27</v>
      </c>
      <c r="Q4" s="2" t="s">
        <v>28</v>
      </c>
      <c r="R4" s="2" t="s">
        <v>29</v>
      </c>
      <c r="S4" s="2" t="s">
        <v>30</v>
      </c>
      <c r="T4" s="2" t="s">
        <v>31</v>
      </c>
      <c r="U4" s="2" t="s">
        <v>32</v>
      </c>
      <c r="V4" s="2" t="s">
        <v>33</v>
      </c>
      <c r="W4" s="2" t="s">
        <v>34</v>
      </c>
      <c r="X4" s="2" t="s">
        <v>35</v>
      </c>
      <c r="Y4" s="2" t="s">
        <v>36</v>
      </c>
      <c r="Z4" s="2" t="s">
        <v>37</v>
      </c>
    </row>
    <row r="5" spans="1:28" x14ac:dyDescent="0.3">
      <c r="A5" s="2">
        <v>10120</v>
      </c>
      <c r="B5" s="2">
        <v>24</v>
      </c>
      <c r="C5" s="2">
        <v>100</v>
      </c>
      <c r="D5" s="2">
        <v>7</v>
      </c>
      <c r="E5" s="2">
        <v>3417.12</v>
      </c>
      <c r="F5" s="13">
        <v>37740</v>
      </c>
      <c r="G5" s="2" t="s">
        <v>23</v>
      </c>
      <c r="H5" s="2">
        <v>3</v>
      </c>
      <c r="I5" s="2">
        <v>9</v>
      </c>
      <c r="J5" s="2" t="str">
        <f t="shared" si="0"/>
        <v>April</v>
      </c>
      <c r="K5" s="2">
        <v>2003</v>
      </c>
      <c r="L5" s="2" t="s">
        <v>38</v>
      </c>
      <c r="M5" s="2">
        <v>117</v>
      </c>
      <c r="N5" s="2" t="s">
        <v>109</v>
      </c>
      <c r="O5" s="2" t="s">
        <v>49</v>
      </c>
      <c r="P5" s="2" t="s">
        <v>50</v>
      </c>
      <c r="Q5" s="2" t="s">
        <v>51</v>
      </c>
      <c r="R5" s="2" t="s">
        <v>52</v>
      </c>
      <c r="S5" s="2" t="s">
        <v>53</v>
      </c>
      <c r="T5" s="2" t="s">
        <v>45</v>
      </c>
      <c r="U5" s="2" t="s">
        <v>54</v>
      </c>
      <c r="V5" s="2" t="s">
        <v>33</v>
      </c>
      <c r="W5" s="2" t="s">
        <v>34</v>
      </c>
      <c r="X5" s="2" t="s">
        <v>55</v>
      </c>
      <c r="Y5" s="2" t="s">
        <v>56</v>
      </c>
      <c r="Z5" s="2" t="s">
        <v>37</v>
      </c>
    </row>
    <row r="6" spans="1:28" s="15" customFormat="1" ht="18.600000000000001" customHeight="1" x14ac:dyDescent="0.3">
      <c r="A6" s="2">
        <v>10139</v>
      </c>
      <c r="B6" s="2">
        <v>41</v>
      </c>
      <c r="C6" s="2">
        <v>100</v>
      </c>
      <c r="D6" s="2">
        <v>8</v>
      </c>
      <c r="E6" s="2">
        <v>7956.46</v>
      </c>
      <c r="F6" s="13">
        <v>37818</v>
      </c>
      <c r="G6" s="2" t="s">
        <v>23</v>
      </c>
      <c r="H6" s="2">
        <v>4</v>
      </c>
      <c r="I6" s="2">
        <v>11</v>
      </c>
      <c r="J6" s="2" t="str">
        <f t="shared" si="0"/>
        <v>November</v>
      </c>
      <c r="K6" s="2">
        <v>2004</v>
      </c>
      <c r="L6" s="2" t="s">
        <v>38</v>
      </c>
      <c r="M6" s="2">
        <v>77</v>
      </c>
      <c r="N6" s="2" t="s">
        <v>75</v>
      </c>
      <c r="O6" s="2" t="s">
        <v>26</v>
      </c>
      <c r="P6" s="2" t="s">
        <v>27</v>
      </c>
      <c r="Q6" s="2" t="s">
        <v>28</v>
      </c>
      <c r="R6" s="2" t="s">
        <v>29</v>
      </c>
      <c r="S6" s="2" t="s">
        <v>30</v>
      </c>
      <c r="T6" s="2" t="s">
        <v>31</v>
      </c>
      <c r="U6" s="2" t="s">
        <v>32</v>
      </c>
      <c r="V6" s="2" t="s">
        <v>33</v>
      </c>
      <c r="W6" s="2" t="s">
        <v>34</v>
      </c>
      <c r="X6" s="2" t="s">
        <v>35</v>
      </c>
      <c r="Y6" s="2" t="s">
        <v>36</v>
      </c>
      <c r="Z6" s="2" t="s">
        <v>37</v>
      </c>
      <c r="AA6" s="14"/>
    </row>
    <row r="7" spans="1:28" x14ac:dyDescent="0.3">
      <c r="A7" s="2">
        <v>10139</v>
      </c>
      <c r="B7" s="2">
        <v>20</v>
      </c>
      <c r="C7" s="2">
        <v>90.06</v>
      </c>
      <c r="D7" s="2">
        <v>2</v>
      </c>
      <c r="E7" s="2">
        <v>1801.2</v>
      </c>
      <c r="F7" s="13">
        <v>37818</v>
      </c>
      <c r="G7" s="2" t="s">
        <v>23</v>
      </c>
      <c r="H7" s="2">
        <v>3</v>
      </c>
      <c r="I7" s="2">
        <v>9</v>
      </c>
      <c r="J7" s="2" t="str">
        <f t="shared" si="0"/>
        <v>November</v>
      </c>
      <c r="K7" s="2">
        <v>2003</v>
      </c>
      <c r="L7" s="2" t="s">
        <v>38</v>
      </c>
      <c r="M7" s="2">
        <v>142</v>
      </c>
      <c r="N7" s="2" t="s">
        <v>76</v>
      </c>
      <c r="O7" s="2" t="s">
        <v>49</v>
      </c>
      <c r="P7" s="2" t="s">
        <v>50</v>
      </c>
      <c r="Q7" s="2" t="s">
        <v>51</v>
      </c>
      <c r="R7" s="2" t="s">
        <v>52</v>
      </c>
      <c r="S7" s="2" t="s">
        <v>53</v>
      </c>
      <c r="T7" s="2" t="s">
        <v>45</v>
      </c>
      <c r="U7" s="2" t="s">
        <v>54</v>
      </c>
      <c r="V7" s="2" t="s">
        <v>33</v>
      </c>
      <c r="W7" s="2" t="s">
        <v>34</v>
      </c>
      <c r="X7" s="2" t="s">
        <v>55</v>
      </c>
      <c r="Y7" s="2" t="s">
        <v>56</v>
      </c>
      <c r="Z7" s="2" t="s">
        <v>37</v>
      </c>
      <c r="AB7" s="2"/>
    </row>
    <row r="8" spans="1:28" x14ac:dyDescent="0.3">
      <c r="A8" s="2">
        <v>10148</v>
      </c>
      <c r="B8" s="2">
        <v>25</v>
      </c>
      <c r="C8" s="2">
        <v>60.26</v>
      </c>
      <c r="D8" s="2">
        <v>6</v>
      </c>
      <c r="E8" s="2">
        <v>1506.5</v>
      </c>
      <c r="F8" s="13">
        <v>37875</v>
      </c>
      <c r="G8" s="2" t="s">
        <v>23</v>
      </c>
      <c r="H8" s="2">
        <v>4</v>
      </c>
      <c r="I8" s="2">
        <v>11</v>
      </c>
      <c r="J8" s="2" t="str">
        <f t="shared" si="0"/>
        <v>August</v>
      </c>
      <c r="K8" s="2">
        <v>2004</v>
      </c>
      <c r="L8" s="2" t="s">
        <v>38</v>
      </c>
      <c r="M8" s="2">
        <v>142</v>
      </c>
      <c r="N8" s="2" t="s">
        <v>76</v>
      </c>
      <c r="O8" s="2" t="s">
        <v>26</v>
      </c>
      <c r="P8" s="2" t="s">
        <v>27</v>
      </c>
      <c r="Q8" s="2" t="s">
        <v>28</v>
      </c>
      <c r="R8" s="2" t="s">
        <v>29</v>
      </c>
      <c r="S8" s="2" t="s">
        <v>30</v>
      </c>
      <c r="T8" s="2" t="s">
        <v>31</v>
      </c>
      <c r="U8" s="2" t="s">
        <v>32</v>
      </c>
      <c r="V8" s="2" t="s">
        <v>33</v>
      </c>
      <c r="W8" s="2" t="s">
        <v>34</v>
      </c>
      <c r="X8" s="2" t="s">
        <v>35</v>
      </c>
      <c r="Y8" s="2" t="s">
        <v>36</v>
      </c>
      <c r="Z8" s="2" t="s">
        <v>37</v>
      </c>
    </row>
    <row r="9" spans="1:28" x14ac:dyDescent="0.3">
      <c r="A9" s="2">
        <v>10148</v>
      </c>
      <c r="B9" s="2">
        <v>25</v>
      </c>
      <c r="C9" s="2">
        <v>100</v>
      </c>
      <c r="D9" s="2">
        <v>12</v>
      </c>
      <c r="E9" s="2">
        <v>4232</v>
      </c>
      <c r="F9" s="13">
        <v>37875</v>
      </c>
      <c r="G9" s="2" t="s">
        <v>23</v>
      </c>
      <c r="H9" s="2">
        <v>4</v>
      </c>
      <c r="I9" s="2">
        <v>11</v>
      </c>
      <c r="J9" s="2" t="str">
        <f t="shared" si="0"/>
        <v>August</v>
      </c>
      <c r="K9" s="2">
        <v>2004</v>
      </c>
      <c r="L9" s="2" t="s">
        <v>38</v>
      </c>
      <c r="M9" s="2">
        <v>148</v>
      </c>
      <c r="N9" s="2" t="s">
        <v>98</v>
      </c>
      <c r="O9" s="2" t="s">
        <v>26</v>
      </c>
      <c r="P9" s="2" t="s">
        <v>27</v>
      </c>
      <c r="Q9" s="2" t="s">
        <v>28</v>
      </c>
      <c r="R9" s="2" t="s">
        <v>29</v>
      </c>
      <c r="S9" s="2" t="s">
        <v>30</v>
      </c>
      <c r="T9" s="2" t="s">
        <v>31</v>
      </c>
      <c r="U9" s="2" t="s">
        <v>32</v>
      </c>
      <c r="V9" s="2" t="s">
        <v>33</v>
      </c>
      <c r="W9" s="2" t="s">
        <v>34</v>
      </c>
      <c r="X9" s="2" t="s">
        <v>35</v>
      </c>
      <c r="Y9" s="2" t="s">
        <v>36</v>
      </c>
      <c r="Z9" s="2" t="s">
        <v>37</v>
      </c>
    </row>
    <row r="10" spans="1:28" x14ac:dyDescent="0.3">
      <c r="A10" s="2">
        <v>10148</v>
      </c>
      <c r="B10" s="2">
        <v>31</v>
      </c>
      <c r="C10" s="2">
        <v>73.62</v>
      </c>
      <c r="D10" s="2">
        <v>5</v>
      </c>
      <c r="E10" s="2">
        <v>2282.2199999999998</v>
      </c>
      <c r="F10" s="13">
        <v>37875</v>
      </c>
      <c r="G10" s="2" t="s">
        <v>23</v>
      </c>
      <c r="H10" s="2">
        <v>3</v>
      </c>
      <c r="I10" s="2">
        <v>9</v>
      </c>
      <c r="J10" s="2" t="str">
        <f t="shared" si="0"/>
        <v>August</v>
      </c>
      <c r="K10" s="2">
        <v>2003</v>
      </c>
      <c r="L10" s="2" t="s">
        <v>38</v>
      </c>
      <c r="M10" s="2">
        <v>132</v>
      </c>
      <c r="N10" s="2" t="s">
        <v>85</v>
      </c>
      <c r="O10" s="2" t="s">
        <v>49</v>
      </c>
      <c r="P10" s="2" t="s">
        <v>50</v>
      </c>
      <c r="Q10" s="2" t="s">
        <v>51</v>
      </c>
      <c r="R10" s="2" t="s">
        <v>52</v>
      </c>
      <c r="S10" s="2" t="s">
        <v>53</v>
      </c>
      <c r="T10" s="2" t="s">
        <v>45</v>
      </c>
      <c r="U10" s="2" t="s">
        <v>54</v>
      </c>
      <c r="V10" s="2" t="s">
        <v>33</v>
      </c>
      <c r="W10" s="2" t="s">
        <v>34</v>
      </c>
      <c r="X10" s="2" t="s">
        <v>55</v>
      </c>
      <c r="Y10" s="2" t="s">
        <v>56</v>
      </c>
      <c r="Z10" s="2" t="s">
        <v>37</v>
      </c>
    </row>
    <row r="11" spans="1:28" x14ac:dyDescent="0.3">
      <c r="A11" s="2">
        <v>10148</v>
      </c>
      <c r="B11" s="2">
        <v>47</v>
      </c>
      <c r="C11" s="2">
        <v>56.85</v>
      </c>
      <c r="D11" s="2">
        <v>8</v>
      </c>
      <c r="E11" s="2">
        <v>2671.95</v>
      </c>
      <c r="F11" s="13">
        <v>37875</v>
      </c>
      <c r="G11" s="2" t="s">
        <v>23</v>
      </c>
      <c r="H11" s="2">
        <v>4</v>
      </c>
      <c r="I11" s="2">
        <v>11</v>
      </c>
      <c r="J11" s="2" t="str">
        <f t="shared" si="0"/>
        <v>August</v>
      </c>
      <c r="K11" s="2">
        <v>2003</v>
      </c>
      <c r="L11" s="2" t="s">
        <v>38</v>
      </c>
      <c r="M11" s="2">
        <v>194</v>
      </c>
      <c r="N11" s="2" t="s">
        <v>62</v>
      </c>
      <c r="O11" s="2" t="s">
        <v>49</v>
      </c>
      <c r="P11" s="2" t="s">
        <v>50</v>
      </c>
      <c r="Q11" s="2" t="s">
        <v>51</v>
      </c>
      <c r="R11" s="2" t="s">
        <v>52</v>
      </c>
      <c r="S11" s="2" t="s">
        <v>53</v>
      </c>
      <c r="T11" s="2" t="s">
        <v>45</v>
      </c>
      <c r="U11" s="2" t="s">
        <v>54</v>
      </c>
      <c r="V11" s="2" t="s">
        <v>33</v>
      </c>
      <c r="W11" s="2" t="s">
        <v>34</v>
      </c>
      <c r="X11" s="2" t="s">
        <v>55</v>
      </c>
      <c r="Y11" s="2" t="s">
        <v>56</v>
      </c>
      <c r="Z11" s="2" t="s">
        <v>37</v>
      </c>
    </row>
    <row r="12" spans="1:28" x14ac:dyDescent="0.3">
      <c r="A12" s="2">
        <v>10169</v>
      </c>
      <c r="B12" s="2">
        <v>36</v>
      </c>
      <c r="C12" s="2">
        <v>100</v>
      </c>
      <c r="D12" s="2">
        <v>4</v>
      </c>
      <c r="E12" s="2">
        <v>4444.92</v>
      </c>
      <c r="F12" s="13">
        <v>37929</v>
      </c>
      <c r="G12" s="2" t="s">
        <v>73</v>
      </c>
      <c r="H12" s="2">
        <v>2</v>
      </c>
      <c r="I12" s="2">
        <v>5</v>
      </c>
      <c r="J12" s="2" t="str">
        <f t="shared" si="0"/>
        <v>May</v>
      </c>
      <c r="K12" s="2">
        <v>2005</v>
      </c>
      <c r="L12" s="2" t="s">
        <v>38</v>
      </c>
      <c r="M12" s="2">
        <v>90</v>
      </c>
      <c r="N12" s="2" t="s">
        <v>108</v>
      </c>
      <c r="O12" s="2" t="s">
        <v>40</v>
      </c>
      <c r="P12" s="2" t="s">
        <v>41</v>
      </c>
      <c r="Q12" s="2" t="s">
        <v>42</v>
      </c>
      <c r="R12" s="2" t="s">
        <v>43</v>
      </c>
      <c r="S12" s="2" t="s">
        <v>44</v>
      </c>
      <c r="T12" s="2" t="s">
        <v>45</v>
      </c>
      <c r="U12" s="2" t="s">
        <v>46</v>
      </c>
      <c r="V12" s="2" t="s">
        <v>33</v>
      </c>
      <c r="W12" s="2" t="s">
        <v>34</v>
      </c>
      <c r="X12" s="2" t="s">
        <v>47</v>
      </c>
      <c r="Y12" s="2" t="s">
        <v>48</v>
      </c>
      <c r="Z12" s="2" t="s">
        <v>37</v>
      </c>
    </row>
    <row r="13" spans="1:28" x14ac:dyDescent="0.3">
      <c r="A13" s="2">
        <v>10169</v>
      </c>
      <c r="B13" s="2">
        <v>38</v>
      </c>
      <c r="C13" s="2">
        <v>74.11</v>
      </c>
      <c r="D13" s="2">
        <v>11</v>
      </c>
      <c r="E13" s="2">
        <v>2816.18</v>
      </c>
      <c r="F13" s="13">
        <v>37929</v>
      </c>
      <c r="G13" s="2" t="s">
        <v>23</v>
      </c>
      <c r="H13" s="2">
        <v>3</v>
      </c>
      <c r="I13" s="2">
        <v>7</v>
      </c>
      <c r="J13" s="2" t="str">
        <f t="shared" si="0"/>
        <v>May</v>
      </c>
      <c r="K13" s="2">
        <v>2004</v>
      </c>
      <c r="L13" s="2" t="s">
        <v>38</v>
      </c>
      <c r="M13" s="2">
        <v>147</v>
      </c>
      <c r="N13" s="2" t="s">
        <v>61</v>
      </c>
      <c r="O13" s="2" t="s">
        <v>40</v>
      </c>
      <c r="P13" s="2" t="s">
        <v>41</v>
      </c>
      <c r="Q13" s="2" t="s">
        <v>42</v>
      </c>
      <c r="R13" s="2" t="s">
        <v>43</v>
      </c>
      <c r="S13" s="2" t="s">
        <v>44</v>
      </c>
      <c r="T13" s="2" t="s">
        <v>45</v>
      </c>
      <c r="U13" s="2" t="s">
        <v>46</v>
      </c>
      <c r="V13" s="2" t="s">
        <v>33</v>
      </c>
      <c r="W13" s="2" t="s">
        <v>34</v>
      </c>
      <c r="X13" s="2" t="s">
        <v>47</v>
      </c>
      <c r="Y13" s="2" t="s">
        <v>48</v>
      </c>
      <c r="Z13" s="2" t="s">
        <v>37</v>
      </c>
    </row>
    <row r="14" spans="1:28" x14ac:dyDescent="0.3">
      <c r="A14" s="2">
        <v>10169</v>
      </c>
      <c r="B14" s="2">
        <v>32</v>
      </c>
      <c r="C14" s="2">
        <v>70.760000000000005</v>
      </c>
      <c r="D14" s="2">
        <v>5</v>
      </c>
      <c r="E14" s="2">
        <v>2264.3200000000002</v>
      </c>
      <c r="F14" s="13">
        <v>37929</v>
      </c>
      <c r="G14" s="2" t="s">
        <v>23</v>
      </c>
      <c r="H14" s="2">
        <v>4</v>
      </c>
      <c r="I14" s="2">
        <v>11</v>
      </c>
      <c r="J14" s="2" t="str">
        <f t="shared" si="0"/>
        <v>May</v>
      </c>
      <c r="K14" s="2">
        <v>2004</v>
      </c>
      <c r="L14" s="2" t="s">
        <v>38</v>
      </c>
      <c r="M14" s="2">
        <v>147</v>
      </c>
      <c r="N14" s="2" t="s">
        <v>61</v>
      </c>
      <c r="O14" s="2" t="s">
        <v>26</v>
      </c>
      <c r="P14" s="2" t="s">
        <v>27</v>
      </c>
      <c r="Q14" s="2" t="s">
        <v>28</v>
      </c>
      <c r="R14" s="2" t="s">
        <v>29</v>
      </c>
      <c r="S14" s="2" t="s">
        <v>30</v>
      </c>
      <c r="T14" s="2" t="s">
        <v>31</v>
      </c>
      <c r="U14" s="2" t="s">
        <v>32</v>
      </c>
      <c r="V14" s="2" t="s">
        <v>33</v>
      </c>
      <c r="W14" s="2" t="s">
        <v>34</v>
      </c>
      <c r="X14" s="2" t="s">
        <v>35</v>
      </c>
      <c r="Y14" s="2" t="s">
        <v>36</v>
      </c>
      <c r="Z14" s="2" t="s">
        <v>37</v>
      </c>
    </row>
    <row r="15" spans="1:28" x14ac:dyDescent="0.3">
      <c r="A15" s="2">
        <v>10223</v>
      </c>
      <c r="B15" s="2">
        <v>34</v>
      </c>
      <c r="C15" s="2">
        <v>100</v>
      </c>
      <c r="D15" s="2">
        <v>11</v>
      </c>
      <c r="E15" s="2">
        <v>3608.76</v>
      </c>
      <c r="F15" s="13">
        <v>38037</v>
      </c>
      <c r="G15" s="2" t="s">
        <v>73</v>
      </c>
      <c r="H15" s="2">
        <v>2</v>
      </c>
      <c r="I15" s="2">
        <v>5</v>
      </c>
      <c r="J15" s="2" t="str">
        <f t="shared" si="0"/>
        <v>November</v>
      </c>
      <c r="K15" s="2">
        <v>2005</v>
      </c>
      <c r="L15" s="2" t="s">
        <v>38</v>
      </c>
      <c r="M15" s="2">
        <v>85</v>
      </c>
      <c r="N15" s="2" t="s">
        <v>111</v>
      </c>
      <c r="O15" s="2" t="s">
        <v>40</v>
      </c>
      <c r="P15" s="2" t="s">
        <v>41</v>
      </c>
      <c r="Q15" s="2" t="s">
        <v>42</v>
      </c>
      <c r="R15" s="2" t="s">
        <v>43</v>
      </c>
      <c r="S15" s="2" t="s">
        <v>44</v>
      </c>
      <c r="T15" s="2" t="s">
        <v>45</v>
      </c>
      <c r="U15" s="2" t="s">
        <v>46</v>
      </c>
      <c r="V15" s="2" t="s">
        <v>33</v>
      </c>
      <c r="W15" s="2" t="s">
        <v>34</v>
      </c>
      <c r="X15" s="2" t="s">
        <v>47</v>
      </c>
      <c r="Y15" s="2" t="s">
        <v>48</v>
      </c>
      <c r="Z15" s="2" t="s">
        <v>37</v>
      </c>
    </row>
    <row r="16" spans="1:28" x14ac:dyDescent="0.3">
      <c r="A16" s="2">
        <v>10223</v>
      </c>
      <c r="B16" s="2">
        <v>47</v>
      </c>
      <c r="C16" s="2">
        <v>100</v>
      </c>
      <c r="D16" s="2">
        <v>4</v>
      </c>
      <c r="E16" s="2">
        <v>5422.39</v>
      </c>
      <c r="F16" s="13">
        <v>38037</v>
      </c>
      <c r="G16" s="2" t="s">
        <v>23</v>
      </c>
      <c r="H16" s="2">
        <v>3</v>
      </c>
      <c r="I16" s="2">
        <v>7</v>
      </c>
      <c r="J16" s="2" t="str">
        <f t="shared" si="0"/>
        <v>November</v>
      </c>
      <c r="K16" s="2">
        <v>2004</v>
      </c>
      <c r="L16" s="2" t="s">
        <v>38</v>
      </c>
      <c r="M16" s="2">
        <v>101</v>
      </c>
      <c r="N16" s="2" t="s">
        <v>133</v>
      </c>
      <c r="O16" s="2" t="s">
        <v>40</v>
      </c>
      <c r="P16" s="2" t="s">
        <v>41</v>
      </c>
      <c r="Q16" s="2" t="s">
        <v>42</v>
      </c>
      <c r="R16" s="2" t="s">
        <v>43</v>
      </c>
      <c r="S16" s="2" t="s">
        <v>44</v>
      </c>
      <c r="T16" s="2" t="s">
        <v>45</v>
      </c>
      <c r="U16" s="2" t="s">
        <v>46</v>
      </c>
      <c r="V16" s="2" t="s">
        <v>33</v>
      </c>
      <c r="W16" s="2" t="s">
        <v>34</v>
      </c>
      <c r="X16" s="2" t="s">
        <v>47</v>
      </c>
      <c r="Y16" s="2" t="s">
        <v>48</v>
      </c>
      <c r="Z16" s="2" t="s">
        <v>37</v>
      </c>
    </row>
    <row r="17" spans="1:26" x14ac:dyDescent="0.3">
      <c r="A17" s="2">
        <v>10270</v>
      </c>
      <c r="B17" s="2">
        <v>31</v>
      </c>
      <c r="C17" s="2">
        <v>96.24</v>
      </c>
      <c r="D17" s="2">
        <v>10</v>
      </c>
      <c r="E17" s="2">
        <v>2983.44</v>
      </c>
      <c r="F17" s="13">
        <v>38187</v>
      </c>
      <c r="G17" s="2" t="s">
        <v>23</v>
      </c>
      <c r="H17" s="2">
        <v>3</v>
      </c>
      <c r="I17" s="2">
        <v>9</v>
      </c>
      <c r="J17" s="2" t="str">
        <f t="shared" si="0"/>
        <v>October</v>
      </c>
      <c r="K17" s="2">
        <v>2003</v>
      </c>
      <c r="L17" s="2" t="s">
        <v>38</v>
      </c>
      <c r="M17" s="2">
        <v>169</v>
      </c>
      <c r="N17" s="2" t="s">
        <v>89</v>
      </c>
      <c r="O17" s="2" t="s">
        <v>49</v>
      </c>
      <c r="P17" s="2" t="s">
        <v>50</v>
      </c>
      <c r="Q17" s="2" t="s">
        <v>51</v>
      </c>
      <c r="R17" s="2" t="s">
        <v>52</v>
      </c>
      <c r="S17" s="2" t="s">
        <v>53</v>
      </c>
      <c r="T17" s="2" t="s">
        <v>45</v>
      </c>
      <c r="U17" s="2" t="s">
        <v>54</v>
      </c>
      <c r="V17" s="2" t="s">
        <v>33</v>
      </c>
      <c r="W17" s="2" t="s">
        <v>34</v>
      </c>
      <c r="X17" s="2" t="s">
        <v>55</v>
      </c>
      <c r="Y17" s="2" t="s">
        <v>56</v>
      </c>
      <c r="Z17" s="2" t="s">
        <v>37</v>
      </c>
    </row>
    <row r="18" spans="1:26" x14ac:dyDescent="0.3">
      <c r="A18" s="2">
        <v>10342</v>
      </c>
      <c r="B18" s="2">
        <v>22</v>
      </c>
      <c r="C18" s="2">
        <v>100</v>
      </c>
      <c r="D18" s="2">
        <v>3</v>
      </c>
      <c r="E18" s="2">
        <v>3160.74</v>
      </c>
      <c r="F18" s="13">
        <v>38315</v>
      </c>
      <c r="G18" s="2" t="s">
        <v>23</v>
      </c>
      <c r="H18" s="2">
        <v>4</v>
      </c>
      <c r="I18" s="2">
        <v>11</v>
      </c>
      <c r="J18" s="2" t="str">
        <f t="shared" si="0"/>
        <v>October</v>
      </c>
      <c r="K18" s="2">
        <v>2003</v>
      </c>
      <c r="L18" s="2" t="s">
        <v>38</v>
      </c>
      <c r="M18" s="2">
        <v>148</v>
      </c>
      <c r="N18" s="2" t="s">
        <v>98</v>
      </c>
      <c r="O18" s="2" t="s">
        <v>49</v>
      </c>
      <c r="P18" s="2" t="s">
        <v>50</v>
      </c>
      <c r="Q18" s="2" t="s">
        <v>51</v>
      </c>
      <c r="R18" s="2" t="s">
        <v>52</v>
      </c>
      <c r="S18" s="2" t="s">
        <v>53</v>
      </c>
      <c r="T18" s="2" t="s">
        <v>45</v>
      </c>
      <c r="U18" s="2" t="s">
        <v>54</v>
      </c>
      <c r="V18" s="2" t="s">
        <v>33</v>
      </c>
      <c r="W18" s="2" t="s">
        <v>34</v>
      </c>
      <c r="X18" s="2" t="s">
        <v>55</v>
      </c>
      <c r="Y18" s="2" t="s">
        <v>56</v>
      </c>
      <c r="Z18" s="2" t="s">
        <v>37</v>
      </c>
    </row>
    <row r="19" spans="1:26" x14ac:dyDescent="0.3">
      <c r="A19" s="2">
        <v>10347</v>
      </c>
      <c r="B19" s="2">
        <v>21</v>
      </c>
      <c r="C19" s="2">
        <v>100</v>
      </c>
      <c r="D19" s="2">
        <v>6</v>
      </c>
      <c r="E19" s="2">
        <v>4815.3</v>
      </c>
      <c r="F19" s="13">
        <v>38320</v>
      </c>
      <c r="G19" s="2" t="s">
        <v>23</v>
      </c>
      <c r="H19" s="2">
        <v>4</v>
      </c>
      <c r="I19" s="2">
        <v>11</v>
      </c>
      <c r="J19" s="2" t="str">
        <f t="shared" si="0"/>
        <v>March</v>
      </c>
      <c r="K19" s="2">
        <v>2004</v>
      </c>
      <c r="L19" s="2" t="s">
        <v>38</v>
      </c>
      <c r="M19" s="2">
        <v>140</v>
      </c>
      <c r="N19" s="2" t="s">
        <v>115</v>
      </c>
      <c r="O19" s="2" t="s">
        <v>26</v>
      </c>
      <c r="P19" s="2" t="s">
        <v>27</v>
      </c>
      <c r="Q19" s="2" t="s">
        <v>28</v>
      </c>
      <c r="R19" s="2" t="s">
        <v>29</v>
      </c>
      <c r="S19" s="2" t="s">
        <v>30</v>
      </c>
      <c r="T19" s="2" t="s">
        <v>31</v>
      </c>
      <c r="U19" s="2" t="s">
        <v>32</v>
      </c>
      <c r="V19" s="2" t="s">
        <v>33</v>
      </c>
      <c r="W19" s="2" t="s">
        <v>34</v>
      </c>
      <c r="X19" s="2" t="s">
        <v>35</v>
      </c>
      <c r="Y19" s="2" t="s">
        <v>36</v>
      </c>
      <c r="Z19" s="2" t="s">
        <v>37</v>
      </c>
    </row>
    <row r="20" spans="1:26" x14ac:dyDescent="0.3">
      <c r="A20" s="2">
        <v>10347</v>
      </c>
      <c r="B20" s="2">
        <v>26</v>
      </c>
      <c r="C20" s="2">
        <v>100</v>
      </c>
      <c r="D20" s="2">
        <v>12</v>
      </c>
      <c r="E20" s="2">
        <v>2656.94</v>
      </c>
      <c r="F20" s="13">
        <v>38320</v>
      </c>
      <c r="G20" s="2" t="s">
        <v>23</v>
      </c>
      <c r="H20" s="2">
        <v>4</v>
      </c>
      <c r="I20" s="2">
        <v>11</v>
      </c>
      <c r="J20" s="2" t="str">
        <f t="shared" si="0"/>
        <v>March</v>
      </c>
      <c r="K20" s="2">
        <v>2004</v>
      </c>
      <c r="L20" s="2" t="s">
        <v>38</v>
      </c>
      <c r="M20" s="2">
        <v>214</v>
      </c>
      <c r="N20" s="2" t="s">
        <v>39</v>
      </c>
      <c r="O20" s="2" t="s">
        <v>26</v>
      </c>
      <c r="P20" s="2" t="s">
        <v>27</v>
      </c>
      <c r="Q20" s="2" t="s">
        <v>28</v>
      </c>
      <c r="R20" s="2" t="s">
        <v>29</v>
      </c>
      <c r="S20" s="2" t="s">
        <v>30</v>
      </c>
      <c r="T20" s="2" t="s">
        <v>31</v>
      </c>
      <c r="U20" s="2" t="s">
        <v>32</v>
      </c>
      <c r="V20" s="2" t="s">
        <v>33</v>
      </c>
      <c r="W20" s="2" t="s">
        <v>34</v>
      </c>
      <c r="X20" s="2" t="s">
        <v>35</v>
      </c>
      <c r="Y20" s="2" t="s">
        <v>36</v>
      </c>
      <c r="Z20" s="2" t="s">
        <v>37</v>
      </c>
    </row>
    <row r="21" spans="1:26" x14ac:dyDescent="0.3">
      <c r="A21" s="2">
        <v>10361</v>
      </c>
      <c r="B21" s="2">
        <v>26</v>
      </c>
      <c r="C21" s="2">
        <v>51.15</v>
      </c>
      <c r="D21" s="2">
        <v>8</v>
      </c>
      <c r="E21" s="2">
        <v>1329.9</v>
      </c>
      <c r="F21" s="13">
        <v>38338</v>
      </c>
      <c r="G21" s="2" t="s">
        <v>23</v>
      </c>
      <c r="H21" s="2">
        <v>3</v>
      </c>
      <c r="I21" s="2">
        <v>7</v>
      </c>
      <c r="J21" s="2" t="str">
        <f t="shared" si="0"/>
        <v>May</v>
      </c>
      <c r="K21" s="2">
        <v>2004</v>
      </c>
      <c r="L21" s="2" t="s">
        <v>38</v>
      </c>
      <c r="M21" s="2">
        <v>214</v>
      </c>
      <c r="N21" s="2" t="s">
        <v>39</v>
      </c>
      <c r="O21" s="2" t="s">
        <v>40</v>
      </c>
      <c r="P21" s="2" t="s">
        <v>41</v>
      </c>
      <c r="Q21" s="2" t="s">
        <v>42</v>
      </c>
      <c r="R21" s="2" t="s">
        <v>43</v>
      </c>
      <c r="S21" s="2" t="s">
        <v>44</v>
      </c>
      <c r="T21" s="2" t="s">
        <v>45</v>
      </c>
      <c r="U21" s="2" t="s">
        <v>46</v>
      </c>
      <c r="V21" s="2" t="s">
        <v>33</v>
      </c>
      <c r="W21" s="2" t="s">
        <v>34</v>
      </c>
      <c r="X21" s="2" t="s">
        <v>47</v>
      </c>
      <c r="Y21" s="2" t="s">
        <v>48</v>
      </c>
      <c r="Z21" s="2" t="s">
        <v>37</v>
      </c>
    </row>
    <row r="22" spans="1:26" x14ac:dyDescent="0.3">
      <c r="A22" s="2">
        <v>10370</v>
      </c>
      <c r="B22" s="2">
        <v>49</v>
      </c>
      <c r="C22" s="2">
        <v>100</v>
      </c>
      <c r="D22" s="2">
        <v>8</v>
      </c>
      <c r="E22" s="2">
        <v>8470.14</v>
      </c>
      <c r="F22" s="13">
        <v>38372</v>
      </c>
      <c r="G22" s="2" t="s">
        <v>73</v>
      </c>
      <c r="H22" s="2">
        <v>2</v>
      </c>
      <c r="I22" s="2">
        <v>5</v>
      </c>
      <c r="J22" s="2" t="str">
        <f t="shared" si="0"/>
        <v>February</v>
      </c>
      <c r="K22" s="2">
        <v>2005</v>
      </c>
      <c r="L22" s="2" t="s">
        <v>38</v>
      </c>
      <c r="M22" s="2">
        <v>117</v>
      </c>
      <c r="N22" s="2" t="s">
        <v>109</v>
      </c>
      <c r="O22" s="2" t="s">
        <v>40</v>
      </c>
      <c r="P22" s="2" t="s">
        <v>41</v>
      </c>
      <c r="Q22" s="2" t="s">
        <v>42</v>
      </c>
      <c r="R22" s="2" t="s">
        <v>43</v>
      </c>
      <c r="S22" s="2" t="s">
        <v>44</v>
      </c>
      <c r="T22" s="2" t="s">
        <v>45</v>
      </c>
      <c r="U22" s="2" t="s">
        <v>46</v>
      </c>
      <c r="V22" s="2" t="s">
        <v>33</v>
      </c>
      <c r="W22" s="2" t="s">
        <v>34</v>
      </c>
      <c r="X22" s="2" t="s">
        <v>47</v>
      </c>
      <c r="Y22" s="2" t="s">
        <v>48</v>
      </c>
      <c r="Z22" s="2" t="s">
        <v>37</v>
      </c>
    </row>
    <row r="23" spans="1:26" x14ac:dyDescent="0.3">
      <c r="A23" s="2">
        <v>10370</v>
      </c>
      <c r="B23" s="2">
        <v>27</v>
      </c>
      <c r="C23" s="2">
        <v>100</v>
      </c>
      <c r="D23" s="2">
        <v>1</v>
      </c>
      <c r="E23" s="2">
        <v>3911.49</v>
      </c>
      <c r="F23" s="13">
        <v>38372</v>
      </c>
      <c r="G23" s="2" t="s">
        <v>23</v>
      </c>
      <c r="H23" s="2">
        <v>4</v>
      </c>
      <c r="I23" s="2">
        <v>11</v>
      </c>
      <c r="J23" s="2" t="str">
        <f t="shared" si="0"/>
        <v>February</v>
      </c>
      <c r="K23" s="2">
        <v>2003</v>
      </c>
      <c r="L23" s="2" t="s">
        <v>38</v>
      </c>
      <c r="M23" s="2">
        <v>146</v>
      </c>
      <c r="N23" s="2" t="s">
        <v>92</v>
      </c>
      <c r="O23" s="2" t="s">
        <v>49</v>
      </c>
      <c r="P23" s="2" t="s">
        <v>50</v>
      </c>
      <c r="Q23" s="2" t="s">
        <v>51</v>
      </c>
      <c r="R23" s="2" t="s">
        <v>52</v>
      </c>
      <c r="S23" s="2" t="s">
        <v>53</v>
      </c>
      <c r="T23" s="2" t="s">
        <v>45</v>
      </c>
      <c r="U23" s="2" t="s">
        <v>54</v>
      </c>
      <c r="V23" s="2" t="s">
        <v>33</v>
      </c>
      <c r="W23" s="2" t="s">
        <v>34</v>
      </c>
      <c r="X23" s="2" t="s">
        <v>55</v>
      </c>
      <c r="Y23" s="2" t="s">
        <v>56</v>
      </c>
      <c r="Z23" s="2" t="s">
        <v>37</v>
      </c>
    </row>
    <row r="24" spans="1:26" x14ac:dyDescent="0.3">
      <c r="A24" s="2">
        <v>10370</v>
      </c>
      <c r="B24" s="2">
        <v>35</v>
      </c>
      <c r="C24" s="2">
        <v>65.63</v>
      </c>
      <c r="D24" s="2">
        <v>4</v>
      </c>
      <c r="E24" s="2">
        <v>2297.0500000000002</v>
      </c>
      <c r="F24" s="13">
        <v>38372</v>
      </c>
      <c r="G24" s="2" t="s">
        <v>23</v>
      </c>
      <c r="H24" s="2">
        <v>3</v>
      </c>
      <c r="I24" s="2">
        <v>9</v>
      </c>
      <c r="J24" s="2" t="str">
        <f t="shared" si="0"/>
        <v>February</v>
      </c>
      <c r="K24" s="2">
        <v>2003</v>
      </c>
      <c r="L24" s="2" t="s">
        <v>38</v>
      </c>
      <c r="M24" s="2">
        <v>107</v>
      </c>
      <c r="N24" s="2" t="s">
        <v>114</v>
      </c>
      <c r="O24" s="2" t="s">
        <v>49</v>
      </c>
      <c r="P24" s="2" t="s">
        <v>50</v>
      </c>
      <c r="Q24" s="2" t="s">
        <v>51</v>
      </c>
      <c r="R24" s="2" t="s">
        <v>52</v>
      </c>
      <c r="S24" s="2" t="s">
        <v>53</v>
      </c>
      <c r="T24" s="2" t="s">
        <v>45</v>
      </c>
      <c r="U24" s="2" t="s">
        <v>54</v>
      </c>
      <c r="V24" s="2" t="s">
        <v>33</v>
      </c>
      <c r="W24" s="2" t="s">
        <v>34</v>
      </c>
      <c r="X24" s="2" t="s">
        <v>55</v>
      </c>
      <c r="Y24" s="2" t="s">
        <v>56</v>
      </c>
      <c r="Z24" s="2" t="s">
        <v>37</v>
      </c>
    </row>
    <row r="25" spans="1:26" x14ac:dyDescent="0.3">
      <c r="A25" s="2">
        <v>10391</v>
      </c>
      <c r="B25" s="2">
        <v>33</v>
      </c>
      <c r="C25" s="2">
        <v>100</v>
      </c>
      <c r="D25" s="2">
        <v>8</v>
      </c>
      <c r="E25" s="2">
        <v>8344.7099999999991</v>
      </c>
      <c r="F25" s="13">
        <v>38420</v>
      </c>
      <c r="G25" s="2" t="s">
        <v>23</v>
      </c>
      <c r="H25" s="2">
        <v>4</v>
      </c>
      <c r="I25" s="2">
        <v>11</v>
      </c>
      <c r="J25" s="2" t="str">
        <f t="shared" si="0"/>
        <v>November</v>
      </c>
      <c r="K25" s="2">
        <v>2004</v>
      </c>
      <c r="L25" s="2" t="s">
        <v>38</v>
      </c>
      <c r="M25" s="2">
        <v>146</v>
      </c>
      <c r="N25" s="2" t="s">
        <v>92</v>
      </c>
      <c r="O25" s="2" t="s">
        <v>26</v>
      </c>
      <c r="P25" s="2" t="s">
        <v>27</v>
      </c>
      <c r="Q25" s="2" t="s">
        <v>28</v>
      </c>
      <c r="R25" s="2" t="s">
        <v>29</v>
      </c>
      <c r="S25" s="2" t="s">
        <v>30</v>
      </c>
      <c r="T25" s="2" t="s">
        <v>31</v>
      </c>
      <c r="U25" s="2" t="s">
        <v>32</v>
      </c>
      <c r="V25" s="2" t="s">
        <v>33</v>
      </c>
      <c r="W25" s="2" t="s">
        <v>34</v>
      </c>
      <c r="X25" s="2" t="s">
        <v>35</v>
      </c>
      <c r="Y25" s="2" t="s">
        <v>36</v>
      </c>
      <c r="Z25" s="2" t="s">
        <v>37</v>
      </c>
    </row>
    <row r="26" spans="1:26" x14ac:dyDescent="0.3">
      <c r="A26" s="2">
        <v>10391</v>
      </c>
      <c r="B26" s="2">
        <v>24</v>
      </c>
      <c r="C26" s="2">
        <v>100</v>
      </c>
      <c r="D26" s="2">
        <v>4</v>
      </c>
      <c r="E26" s="2">
        <v>2416.56</v>
      </c>
      <c r="F26" s="13">
        <v>38420</v>
      </c>
      <c r="G26" s="2" t="s">
        <v>23</v>
      </c>
      <c r="H26" s="2">
        <v>3</v>
      </c>
      <c r="I26" s="2">
        <v>9</v>
      </c>
      <c r="J26" s="2" t="str">
        <f t="shared" si="0"/>
        <v>November</v>
      </c>
      <c r="K26" s="2">
        <v>2003</v>
      </c>
      <c r="L26" s="2" t="s">
        <v>38</v>
      </c>
      <c r="M26" s="2">
        <v>141</v>
      </c>
      <c r="N26" s="2" t="s">
        <v>93</v>
      </c>
      <c r="O26" s="2" t="s">
        <v>49</v>
      </c>
      <c r="P26" s="2" t="s">
        <v>50</v>
      </c>
      <c r="Q26" s="2" t="s">
        <v>51</v>
      </c>
      <c r="R26" s="2" t="s">
        <v>52</v>
      </c>
      <c r="S26" s="2" t="s">
        <v>53</v>
      </c>
      <c r="T26" s="2" t="s">
        <v>45</v>
      </c>
      <c r="U26" s="2" t="s">
        <v>54</v>
      </c>
      <c r="V26" s="2" t="s">
        <v>33</v>
      </c>
      <c r="W26" s="2" t="s">
        <v>34</v>
      </c>
      <c r="X26" s="2" t="s">
        <v>55</v>
      </c>
      <c r="Y26" s="2" t="s">
        <v>56</v>
      </c>
      <c r="Z26" s="2" t="s">
        <v>37</v>
      </c>
    </row>
    <row r="27" spans="1:26" x14ac:dyDescent="0.3">
      <c r="A27" s="2">
        <v>10391</v>
      </c>
      <c r="B27" s="2">
        <v>35</v>
      </c>
      <c r="C27" s="2">
        <v>100</v>
      </c>
      <c r="D27" s="2">
        <v>2</v>
      </c>
      <c r="E27" s="2">
        <v>5548.9</v>
      </c>
      <c r="F27" s="13">
        <v>38420</v>
      </c>
      <c r="G27" s="2" t="s">
        <v>23</v>
      </c>
      <c r="H27" s="2">
        <v>3</v>
      </c>
      <c r="I27" s="2">
        <v>9</v>
      </c>
      <c r="J27" s="2" t="str">
        <f t="shared" si="0"/>
        <v>November</v>
      </c>
      <c r="K27" s="2">
        <v>2003</v>
      </c>
      <c r="L27" s="2" t="s">
        <v>38</v>
      </c>
      <c r="M27" s="2">
        <v>124</v>
      </c>
      <c r="N27" s="2" t="s">
        <v>72</v>
      </c>
      <c r="O27" s="2" t="s">
        <v>49</v>
      </c>
      <c r="P27" s="2" t="s">
        <v>50</v>
      </c>
      <c r="Q27" s="2" t="s">
        <v>51</v>
      </c>
      <c r="R27" s="2" t="s">
        <v>52</v>
      </c>
      <c r="S27" s="2" t="s">
        <v>53</v>
      </c>
      <c r="T27" s="2" t="s">
        <v>45</v>
      </c>
      <c r="U27" s="2" t="s">
        <v>54</v>
      </c>
      <c r="V27" s="2" t="s">
        <v>33</v>
      </c>
      <c r="W27" s="2" t="s">
        <v>34</v>
      </c>
      <c r="X27" s="2" t="s">
        <v>55</v>
      </c>
      <c r="Y27" s="2" t="s">
        <v>56</v>
      </c>
      <c r="Z27" s="2" t="s">
        <v>37</v>
      </c>
    </row>
    <row r="28" spans="1:26" x14ac:dyDescent="0.3">
      <c r="A28" s="2">
        <v>10120</v>
      </c>
      <c r="B28" s="2">
        <v>29</v>
      </c>
      <c r="C28" s="2">
        <v>71.81</v>
      </c>
      <c r="D28" s="2">
        <v>8</v>
      </c>
      <c r="E28" s="2">
        <v>2082.4899999999998</v>
      </c>
      <c r="F28" s="13">
        <v>37740</v>
      </c>
      <c r="G28" s="2" t="s">
        <v>23</v>
      </c>
      <c r="H28" s="2">
        <v>3</v>
      </c>
      <c r="I28" s="2">
        <v>9</v>
      </c>
      <c r="J28" s="2" t="str">
        <f t="shared" si="0"/>
        <v>April</v>
      </c>
      <c r="K28" s="2">
        <v>2003</v>
      </c>
      <c r="L28" s="2" t="s">
        <v>38</v>
      </c>
      <c r="M28" s="2">
        <v>73</v>
      </c>
      <c r="N28" s="2" t="s">
        <v>100</v>
      </c>
      <c r="O28" s="2" t="s">
        <v>49</v>
      </c>
      <c r="P28" s="2" t="s">
        <v>50</v>
      </c>
      <c r="Q28" s="2" t="s">
        <v>51</v>
      </c>
      <c r="R28" s="2" t="s">
        <v>52</v>
      </c>
      <c r="S28" s="2" t="s">
        <v>53</v>
      </c>
      <c r="T28" s="2" t="s">
        <v>45</v>
      </c>
      <c r="U28" s="2" t="s">
        <v>54</v>
      </c>
      <c r="V28" s="2" t="s">
        <v>33</v>
      </c>
      <c r="W28" s="2" t="s">
        <v>34</v>
      </c>
      <c r="X28" s="2" t="s">
        <v>55</v>
      </c>
      <c r="Y28" s="2" t="s">
        <v>56</v>
      </c>
      <c r="Z28" s="2" t="s">
        <v>57</v>
      </c>
    </row>
    <row r="29" spans="1:26" x14ac:dyDescent="0.3">
      <c r="A29" s="2">
        <v>10120</v>
      </c>
      <c r="B29" s="2">
        <v>29</v>
      </c>
      <c r="C29" s="2">
        <v>96.34</v>
      </c>
      <c r="D29" s="2">
        <v>3</v>
      </c>
      <c r="E29" s="2">
        <v>2793.86</v>
      </c>
      <c r="F29" s="13">
        <v>37740</v>
      </c>
      <c r="G29" s="2" t="s">
        <v>23</v>
      </c>
      <c r="H29" s="2">
        <v>3</v>
      </c>
      <c r="I29" s="2">
        <v>9</v>
      </c>
      <c r="J29" s="2" t="str">
        <f t="shared" si="0"/>
        <v>April</v>
      </c>
      <c r="K29" s="2">
        <v>2003</v>
      </c>
      <c r="L29" s="2" t="s">
        <v>38</v>
      </c>
      <c r="M29" s="2">
        <v>85</v>
      </c>
      <c r="N29" s="2" t="s">
        <v>111</v>
      </c>
      <c r="O29" s="2" t="s">
        <v>49</v>
      </c>
      <c r="P29" s="2" t="s">
        <v>50</v>
      </c>
      <c r="Q29" s="2" t="s">
        <v>51</v>
      </c>
      <c r="R29" s="2" t="s">
        <v>52</v>
      </c>
      <c r="S29" s="2" t="s">
        <v>53</v>
      </c>
      <c r="T29" s="2" t="s">
        <v>45</v>
      </c>
      <c r="U29" s="2" t="s">
        <v>54</v>
      </c>
      <c r="V29" s="2" t="s">
        <v>33</v>
      </c>
      <c r="W29" s="2" t="s">
        <v>34</v>
      </c>
      <c r="X29" s="2" t="s">
        <v>55</v>
      </c>
      <c r="Y29" s="2" t="s">
        <v>56</v>
      </c>
      <c r="Z29" s="2" t="s">
        <v>57</v>
      </c>
    </row>
    <row r="30" spans="1:26" x14ac:dyDescent="0.3">
      <c r="A30" s="2">
        <v>10120</v>
      </c>
      <c r="B30" s="2">
        <v>35</v>
      </c>
      <c r="C30" s="2">
        <v>98.05</v>
      </c>
      <c r="D30" s="2">
        <v>1</v>
      </c>
      <c r="E30" s="2">
        <v>3431.75</v>
      </c>
      <c r="F30" s="13">
        <v>37740</v>
      </c>
      <c r="G30" s="2" t="s">
        <v>23</v>
      </c>
      <c r="H30" s="2">
        <v>4</v>
      </c>
      <c r="I30" s="2">
        <v>11</v>
      </c>
      <c r="J30" s="2" t="str">
        <f t="shared" si="0"/>
        <v>April</v>
      </c>
      <c r="K30" s="2">
        <v>2003</v>
      </c>
      <c r="L30" s="2" t="s">
        <v>38</v>
      </c>
      <c r="M30" s="2">
        <v>61</v>
      </c>
      <c r="N30" s="2" t="s">
        <v>112</v>
      </c>
      <c r="O30" s="2" t="s">
        <v>49</v>
      </c>
      <c r="P30" s="2" t="s">
        <v>50</v>
      </c>
      <c r="Q30" s="2" t="s">
        <v>51</v>
      </c>
      <c r="R30" s="2" t="s">
        <v>52</v>
      </c>
      <c r="S30" s="2" t="s">
        <v>53</v>
      </c>
      <c r="T30" s="2" t="s">
        <v>45</v>
      </c>
      <c r="U30" s="2" t="s">
        <v>54</v>
      </c>
      <c r="V30" s="2" t="s">
        <v>33</v>
      </c>
      <c r="W30" s="2" t="s">
        <v>34</v>
      </c>
      <c r="X30" s="2" t="s">
        <v>55</v>
      </c>
      <c r="Y30" s="2" t="s">
        <v>56</v>
      </c>
      <c r="Z30" s="2" t="s">
        <v>57</v>
      </c>
    </row>
    <row r="31" spans="1:26" x14ac:dyDescent="0.3">
      <c r="A31" s="2">
        <v>10148</v>
      </c>
      <c r="B31" s="2">
        <v>27</v>
      </c>
      <c r="C31" s="2">
        <v>100</v>
      </c>
      <c r="D31" s="2">
        <v>10</v>
      </c>
      <c r="E31" s="2">
        <v>3528.36</v>
      </c>
      <c r="F31" s="13">
        <v>37875</v>
      </c>
      <c r="G31" s="2" t="s">
        <v>23</v>
      </c>
      <c r="H31" s="2">
        <v>1</v>
      </c>
      <c r="I31" s="2">
        <v>1</v>
      </c>
      <c r="J31" s="2" t="str">
        <f t="shared" si="0"/>
        <v>August</v>
      </c>
      <c r="K31" s="2">
        <v>2005</v>
      </c>
      <c r="L31" s="2" t="s">
        <v>38</v>
      </c>
      <c r="M31" s="2">
        <v>147</v>
      </c>
      <c r="N31" s="2" t="s">
        <v>61</v>
      </c>
      <c r="O31" s="2" t="s">
        <v>49</v>
      </c>
      <c r="P31" s="2" t="s">
        <v>50</v>
      </c>
      <c r="Q31" s="2" t="s">
        <v>51</v>
      </c>
      <c r="R31" s="2" t="s">
        <v>52</v>
      </c>
      <c r="S31" s="2" t="s">
        <v>53</v>
      </c>
      <c r="T31" s="2" t="s">
        <v>45</v>
      </c>
      <c r="U31" s="2" t="s">
        <v>54</v>
      </c>
      <c r="V31" s="2" t="s">
        <v>33</v>
      </c>
      <c r="W31" s="2" t="s">
        <v>34</v>
      </c>
      <c r="X31" s="2" t="s">
        <v>55</v>
      </c>
      <c r="Y31" s="2" t="s">
        <v>56</v>
      </c>
      <c r="Z31" s="2" t="s">
        <v>57</v>
      </c>
    </row>
    <row r="32" spans="1:26" x14ac:dyDescent="0.3">
      <c r="A32" s="2">
        <v>10169</v>
      </c>
      <c r="B32" s="2">
        <v>35</v>
      </c>
      <c r="C32" s="2">
        <v>100</v>
      </c>
      <c r="D32" s="2">
        <v>13</v>
      </c>
      <c r="E32" s="2">
        <v>4639.25</v>
      </c>
      <c r="F32" s="13">
        <v>37929</v>
      </c>
      <c r="G32" s="2" t="s">
        <v>23</v>
      </c>
      <c r="H32" s="2">
        <v>4</v>
      </c>
      <c r="I32" s="2">
        <v>11</v>
      </c>
      <c r="J32" s="2" t="str">
        <f t="shared" si="0"/>
        <v>May</v>
      </c>
      <c r="K32" s="2">
        <v>2004</v>
      </c>
      <c r="L32" s="2" t="s">
        <v>38</v>
      </c>
      <c r="M32" s="2">
        <v>37</v>
      </c>
      <c r="N32" s="2" t="s">
        <v>110</v>
      </c>
      <c r="O32" s="2" t="s">
        <v>26</v>
      </c>
      <c r="P32" s="2" t="s">
        <v>27</v>
      </c>
      <c r="Q32" s="2" t="s">
        <v>28</v>
      </c>
      <c r="R32" s="2" t="s">
        <v>29</v>
      </c>
      <c r="S32" s="2" t="s">
        <v>30</v>
      </c>
      <c r="T32" s="2" t="s">
        <v>31</v>
      </c>
      <c r="U32" s="2" t="s">
        <v>32</v>
      </c>
      <c r="V32" s="2" t="s">
        <v>33</v>
      </c>
      <c r="W32" s="2" t="s">
        <v>34</v>
      </c>
      <c r="X32" s="2" t="s">
        <v>35</v>
      </c>
      <c r="Y32" s="2" t="s">
        <v>36</v>
      </c>
      <c r="Z32" s="2" t="s">
        <v>57</v>
      </c>
    </row>
    <row r="33" spans="1:26" x14ac:dyDescent="0.3">
      <c r="A33" s="2">
        <v>10223</v>
      </c>
      <c r="B33" s="2">
        <v>28</v>
      </c>
      <c r="C33" s="2">
        <v>60.57</v>
      </c>
      <c r="D33" s="2">
        <v>5</v>
      </c>
      <c r="E33" s="2">
        <v>1695.96</v>
      </c>
      <c r="F33" s="13">
        <v>38037</v>
      </c>
      <c r="G33" s="2" t="s">
        <v>23</v>
      </c>
      <c r="H33" s="2">
        <v>4</v>
      </c>
      <c r="I33" s="2">
        <v>11</v>
      </c>
      <c r="J33" s="2" t="str">
        <f t="shared" si="0"/>
        <v>November</v>
      </c>
      <c r="K33" s="2">
        <v>2003</v>
      </c>
      <c r="L33" s="2" t="s">
        <v>38</v>
      </c>
      <c r="M33" s="2">
        <v>80</v>
      </c>
      <c r="N33" s="2" t="s">
        <v>120</v>
      </c>
      <c r="O33" s="2" t="s">
        <v>49</v>
      </c>
      <c r="P33" s="2" t="s">
        <v>50</v>
      </c>
      <c r="Q33" s="2" t="s">
        <v>51</v>
      </c>
      <c r="R33" s="2" t="s">
        <v>52</v>
      </c>
      <c r="S33" s="2" t="s">
        <v>53</v>
      </c>
      <c r="T33" s="2" t="s">
        <v>45</v>
      </c>
      <c r="U33" s="2" t="s">
        <v>54</v>
      </c>
      <c r="V33" s="2" t="s">
        <v>33</v>
      </c>
      <c r="W33" s="2" t="s">
        <v>34</v>
      </c>
      <c r="X33" s="2" t="s">
        <v>55</v>
      </c>
      <c r="Y33" s="2" t="s">
        <v>56</v>
      </c>
      <c r="Z33" s="2" t="s">
        <v>57</v>
      </c>
    </row>
    <row r="34" spans="1:26" x14ac:dyDescent="0.3">
      <c r="A34" s="2">
        <v>10342</v>
      </c>
      <c r="B34" s="2">
        <v>38</v>
      </c>
      <c r="C34" s="2">
        <v>100</v>
      </c>
      <c r="D34" s="2">
        <v>11</v>
      </c>
      <c r="E34" s="2">
        <v>6276.46</v>
      </c>
      <c r="F34" s="13">
        <v>38315</v>
      </c>
      <c r="G34" s="2" t="s">
        <v>23</v>
      </c>
      <c r="H34" s="2">
        <v>4</v>
      </c>
      <c r="I34" s="2">
        <v>11</v>
      </c>
      <c r="J34" s="2" t="str">
        <f t="shared" ref="J34:J65" si="1">TEXT(DATE(2000,A34,1),"mmmm")</f>
        <v>October</v>
      </c>
      <c r="K34" s="2">
        <v>2004</v>
      </c>
      <c r="L34" s="2" t="s">
        <v>38</v>
      </c>
      <c r="M34" s="2">
        <v>61</v>
      </c>
      <c r="N34" s="2" t="s">
        <v>112</v>
      </c>
      <c r="O34" s="2" t="s">
        <v>26</v>
      </c>
      <c r="P34" s="2" t="s">
        <v>27</v>
      </c>
      <c r="Q34" s="2" t="s">
        <v>28</v>
      </c>
      <c r="R34" s="2" t="s">
        <v>29</v>
      </c>
      <c r="S34" s="2" t="s">
        <v>30</v>
      </c>
      <c r="T34" s="2" t="s">
        <v>31</v>
      </c>
      <c r="U34" s="2" t="s">
        <v>32</v>
      </c>
      <c r="V34" s="2" t="s">
        <v>33</v>
      </c>
      <c r="W34" s="2" t="s">
        <v>34</v>
      </c>
      <c r="X34" s="2" t="s">
        <v>35</v>
      </c>
      <c r="Y34" s="2" t="s">
        <v>36</v>
      </c>
      <c r="Z34" s="2" t="s">
        <v>57</v>
      </c>
    </row>
    <row r="35" spans="1:26" x14ac:dyDescent="0.3">
      <c r="A35" s="2">
        <v>10342</v>
      </c>
      <c r="B35" s="2">
        <v>25</v>
      </c>
      <c r="C35" s="2">
        <v>66.739999999999995</v>
      </c>
      <c r="D35" s="2">
        <v>5</v>
      </c>
      <c r="E35" s="2">
        <v>1668.5</v>
      </c>
      <c r="F35" s="13">
        <v>38315</v>
      </c>
      <c r="G35" s="2" t="s">
        <v>23</v>
      </c>
      <c r="H35" s="2">
        <v>1</v>
      </c>
      <c r="I35" s="2">
        <v>3</v>
      </c>
      <c r="J35" s="2" t="str">
        <f t="shared" si="1"/>
        <v>October</v>
      </c>
      <c r="K35" s="2">
        <v>2005</v>
      </c>
      <c r="L35" s="2" t="s">
        <v>38</v>
      </c>
      <c r="M35" s="2">
        <v>214</v>
      </c>
      <c r="N35" s="2" t="s">
        <v>39</v>
      </c>
      <c r="O35" s="2" t="s">
        <v>49</v>
      </c>
      <c r="P35" s="2" t="s">
        <v>50</v>
      </c>
      <c r="Q35" s="2" t="s">
        <v>51</v>
      </c>
      <c r="R35" s="2" t="s">
        <v>52</v>
      </c>
      <c r="S35" s="2" t="s">
        <v>53</v>
      </c>
      <c r="T35" s="2" t="s">
        <v>45</v>
      </c>
      <c r="U35" s="2" t="s">
        <v>54</v>
      </c>
      <c r="V35" s="2" t="s">
        <v>33</v>
      </c>
      <c r="W35" s="2" t="s">
        <v>34</v>
      </c>
      <c r="X35" s="2" t="s">
        <v>55</v>
      </c>
      <c r="Y35" s="2" t="s">
        <v>56</v>
      </c>
      <c r="Z35" s="2" t="s">
        <v>57</v>
      </c>
    </row>
    <row r="36" spans="1:26" x14ac:dyDescent="0.3">
      <c r="A36" s="2">
        <v>10342</v>
      </c>
      <c r="B36" s="2">
        <v>26</v>
      </c>
      <c r="C36" s="2">
        <v>55.95</v>
      </c>
      <c r="D36" s="2">
        <v>8</v>
      </c>
      <c r="E36" s="2">
        <v>1454.7</v>
      </c>
      <c r="F36" s="13">
        <v>38315</v>
      </c>
      <c r="G36" s="2" t="s">
        <v>23</v>
      </c>
      <c r="H36" s="2">
        <v>3</v>
      </c>
      <c r="I36" s="2">
        <v>9</v>
      </c>
      <c r="J36" s="2" t="str">
        <f t="shared" si="1"/>
        <v>October</v>
      </c>
      <c r="K36" s="2">
        <v>2003</v>
      </c>
      <c r="L36" s="2" t="s">
        <v>38</v>
      </c>
      <c r="M36" s="2">
        <v>90</v>
      </c>
      <c r="N36" s="2" t="s">
        <v>108</v>
      </c>
      <c r="O36" s="2" t="s">
        <v>49</v>
      </c>
      <c r="P36" s="2" t="s">
        <v>50</v>
      </c>
      <c r="Q36" s="2" t="s">
        <v>51</v>
      </c>
      <c r="R36" s="2" t="s">
        <v>52</v>
      </c>
      <c r="S36" s="2" t="s">
        <v>53</v>
      </c>
      <c r="T36" s="2" t="s">
        <v>45</v>
      </c>
      <c r="U36" s="2" t="s">
        <v>54</v>
      </c>
      <c r="V36" s="2" t="s">
        <v>33</v>
      </c>
      <c r="W36" s="2" t="s">
        <v>34</v>
      </c>
      <c r="X36" s="2" t="s">
        <v>55</v>
      </c>
      <c r="Y36" s="2" t="s">
        <v>56</v>
      </c>
      <c r="Z36" s="2" t="s">
        <v>57</v>
      </c>
    </row>
    <row r="37" spans="1:26" x14ac:dyDescent="0.3">
      <c r="A37" s="2">
        <v>10342</v>
      </c>
      <c r="B37" s="2">
        <v>39</v>
      </c>
      <c r="C37" s="2">
        <v>40.4</v>
      </c>
      <c r="D37" s="2">
        <v>9</v>
      </c>
      <c r="E37" s="2">
        <v>1575.6</v>
      </c>
      <c r="F37" s="13">
        <v>38315</v>
      </c>
      <c r="G37" s="2" t="s">
        <v>23</v>
      </c>
      <c r="H37" s="2">
        <v>3</v>
      </c>
      <c r="I37" s="2">
        <v>9</v>
      </c>
      <c r="J37" s="2" t="str">
        <f t="shared" si="1"/>
        <v>October</v>
      </c>
      <c r="K37" s="2">
        <v>2003</v>
      </c>
      <c r="L37" s="2" t="s">
        <v>38</v>
      </c>
      <c r="M37" s="2">
        <v>141</v>
      </c>
      <c r="N37" s="2" t="s">
        <v>68</v>
      </c>
      <c r="O37" s="2" t="s">
        <v>49</v>
      </c>
      <c r="P37" s="2" t="s">
        <v>50</v>
      </c>
      <c r="Q37" s="2" t="s">
        <v>51</v>
      </c>
      <c r="R37" s="2" t="s">
        <v>52</v>
      </c>
      <c r="S37" s="2" t="s">
        <v>53</v>
      </c>
      <c r="T37" s="2" t="s">
        <v>45</v>
      </c>
      <c r="U37" s="2" t="s">
        <v>54</v>
      </c>
      <c r="V37" s="2" t="s">
        <v>33</v>
      </c>
      <c r="W37" s="2" t="s">
        <v>34</v>
      </c>
      <c r="X37" s="2" t="s">
        <v>55</v>
      </c>
      <c r="Y37" s="2" t="s">
        <v>56</v>
      </c>
      <c r="Z37" s="2" t="s">
        <v>57</v>
      </c>
    </row>
    <row r="38" spans="1:26" x14ac:dyDescent="0.3">
      <c r="A38" s="2">
        <v>10342</v>
      </c>
      <c r="B38" s="2">
        <v>48</v>
      </c>
      <c r="C38" s="2">
        <v>62.45</v>
      </c>
      <c r="D38" s="2">
        <v>10</v>
      </c>
      <c r="E38" s="2">
        <v>2997.6</v>
      </c>
      <c r="F38" s="13">
        <v>38315</v>
      </c>
      <c r="G38" s="2" t="s">
        <v>23</v>
      </c>
      <c r="H38" s="2">
        <v>4</v>
      </c>
      <c r="I38" s="2">
        <v>11</v>
      </c>
      <c r="J38" s="2" t="str">
        <f t="shared" si="1"/>
        <v>October</v>
      </c>
      <c r="K38" s="2">
        <v>2003</v>
      </c>
      <c r="L38" s="2" t="s">
        <v>38</v>
      </c>
      <c r="M38" s="2">
        <v>80</v>
      </c>
      <c r="N38" s="2" t="s">
        <v>90</v>
      </c>
      <c r="O38" s="2" t="s">
        <v>49</v>
      </c>
      <c r="P38" s="2" t="s">
        <v>50</v>
      </c>
      <c r="Q38" s="2" t="s">
        <v>51</v>
      </c>
      <c r="R38" s="2" t="s">
        <v>52</v>
      </c>
      <c r="S38" s="2" t="s">
        <v>53</v>
      </c>
      <c r="T38" s="2" t="s">
        <v>45</v>
      </c>
      <c r="U38" s="2" t="s">
        <v>54</v>
      </c>
      <c r="V38" s="2" t="s">
        <v>33</v>
      </c>
      <c r="W38" s="2" t="s">
        <v>34</v>
      </c>
      <c r="X38" s="2" t="s">
        <v>55</v>
      </c>
      <c r="Y38" s="2" t="s">
        <v>56</v>
      </c>
      <c r="Z38" s="2" t="s">
        <v>57</v>
      </c>
    </row>
    <row r="39" spans="1:26" x14ac:dyDescent="0.3">
      <c r="A39" s="2">
        <v>10347</v>
      </c>
      <c r="B39" s="2">
        <v>45</v>
      </c>
      <c r="C39" s="2">
        <v>100</v>
      </c>
      <c r="D39" s="2">
        <v>4</v>
      </c>
      <c r="E39" s="2">
        <v>5884.65</v>
      </c>
      <c r="F39" s="13">
        <v>38320</v>
      </c>
      <c r="G39" s="2" t="s">
        <v>23</v>
      </c>
      <c r="H39" s="2">
        <v>3</v>
      </c>
      <c r="I39" s="2">
        <v>9</v>
      </c>
      <c r="J39" s="2" t="str">
        <f t="shared" si="1"/>
        <v>March</v>
      </c>
      <c r="K39" s="2">
        <v>2003</v>
      </c>
      <c r="L39" s="2" t="s">
        <v>38</v>
      </c>
      <c r="M39" s="2">
        <v>50</v>
      </c>
      <c r="N39" s="2" t="s">
        <v>102</v>
      </c>
      <c r="O39" s="2" t="s">
        <v>49</v>
      </c>
      <c r="P39" s="2" t="s">
        <v>50</v>
      </c>
      <c r="Q39" s="2" t="s">
        <v>51</v>
      </c>
      <c r="R39" s="2" t="s">
        <v>52</v>
      </c>
      <c r="S39" s="2" t="s">
        <v>53</v>
      </c>
      <c r="T39" s="2" t="s">
        <v>45</v>
      </c>
      <c r="U39" s="2" t="s">
        <v>54</v>
      </c>
      <c r="V39" s="2" t="s">
        <v>33</v>
      </c>
      <c r="W39" s="2" t="s">
        <v>34</v>
      </c>
      <c r="X39" s="2" t="s">
        <v>55</v>
      </c>
      <c r="Y39" s="2" t="s">
        <v>56</v>
      </c>
      <c r="Z39" s="2" t="s">
        <v>57</v>
      </c>
    </row>
    <row r="40" spans="1:26" x14ac:dyDescent="0.3">
      <c r="A40" s="2">
        <v>10361</v>
      </c>
      <c r="B40" s="2">
        <v>23</v>
      </c>
      <c r="C40" s="2">
        <v>95.2</v>
      </c>
      <c r="D40" s="2">
        <v>12</v>
      </c>
      <c r="E40" s="2">
        <v>2189.6</v>
      </c>
      <c r="F40" s="13">
        <v>38338</v>
      </c>
      <c r="G40" s="2" t="s">
        <v>73</v>
      </c>
      <c r="H40" s="2">
        <v>2</v>
      </c>
      <c r="I40" s="2">
        <v>5</v>
      </c>
      <c r="J40" s="2" t="str">
        <f t="shared" si="1"/>
        <v>May</v>
      </c>
      <c r="K40" s="2">
        <v>2005</v>
      </c>
      <c r="L40" s="2" t="s">
        <v>38</v>
      </c>
      <c r="M40" s="2">
        <v>107</v>
      </c>
      <c r="N40" s="2" t="s">
        <v>114</v>
      </c>
      <c r="O40" s="2" t="s">
        <v>40</v>
      </c>
      <c r="P40" s="2" t="s">
        <v>41</v>
      </c>
      <c r="Q40" s="2" t="s">
        <v>42</v>
      </c>
      <c r="R40" s="2" t="s">
        <v>43</v>
      </c>
      <c r="S40" s="2" t="s">
        <v>44</v>
      </c>
      <c r="T40" s="2" t="s">
        <v>45</v>
      </c>
      <c r="U40" s="2" t="s">
        <v>46</v>
      </c>
      <c r="V40" s="2" t="s">
        <v>33</v>
      </c>
      <c r="W40" s="2" t="s">
        <v>34</v>
      </c>
      <c r="X40" s="2" t="s">
        <v>47</v>
      </c>
      <c r="Y40" s="2" t="s">
        <v>48</v>
      </c>
      <c r="Z40" s="2" t="s">
        <v>57</v>
      </c>
    </row>
    <row r="41" spans="1:26" x14ac:dyDescent="0.3">
      <c r="A41" s="2">
        <v>10361</v>
      </c>
      <c r="B41" s="2">
        <v>34</v>
      </c>
      <c r="C41" s="2">
        <v>100</v>
      </c>
      <c r="D41" s="2">
        <v>6</v>
      </c>
      <c r="E41" s="2">
        <v>3871.92</v>
      </c>
      <c r="F41" s="13">
        <v>38338</v>
      </c>
      <c r="G41" s="2" t="s">
        <v>23</v>
      </c>
      <c r="H41" s="2">
        <v>4</v>
      </c>
      <c r="I41" s="2">
        <v>11</v>
      </c>
      <c r="J41" s="2" t="str">
        <f t="shared" si="1"/>
        <v>May</v>
      </c>
      <c r="K41" s="2">
        <v>2003</v>
      </c>
      <c r="L41" s="2" t="s">
        <v>38</v>
      </c>
      <c r="M41" s="2">
        <v>79</v>
      </c>
      <c r="N41" s="2" t="s">
        <v>66</v>
      </c>
      <c r="O41" s="2" t="s">
        <v>49</v>
      </c>
      <c r="P41" s="2" t="s">
        <v>50</v>
      </c>
      <c r="Q41" s="2" t="s">
        <v>51</v>
      </c>
      <c r="R41" s="2" t="s">
        <v>52</v>
      </c>
      <c r="S41" s="2" t="s">
        <v>53</v>
      </c>
      <c r="T41" s="2" t="s">
        <v>45</v>
      </c>
      <c r="U41" s="2" t="s">
        <v>54</v>
      </c>
      <c r="V41" s="2" t="s">
        <v>33</v>
      </c>
      <c r="W41" s="2" t="s">
        <v>34</v>
      </c>
      <c r="X41" s="2" t="s">
        <v>55</v>
      </c>
      <c r="Y41" s="2" t="s">
        <v>56</v>
      </c>
      <c r="Z41" s="2" t="s">
        <v>57</v>
      </c>
    </row>
    <row r="42" spans="1:26" x14ac:dyDescent="0.3">
      <c r="A42" s="2">
        <v>10370</v>
      </c>
      <c r="B42" s="2">
        <v>22</v>
      </c>
      <c r="C42" s="2">
        <v>100</v>
      </c>
      <c r="D42" s="2">
        <v>5</v>
      </c>
      <c r="E42" s="2">
        <v>3949</v>
      </c>
      <c r="F42" s="13">
        <v>38372</v>
      </c>
      <c r="G42" s="2" t="s">
        <v>23</v>
      </c>
      <c r="H42" s="2">
        <v>1</v>
      </c>
      <c r="I42" s="2">
        <v>3</v>
      </c>
      <c r="J42" s="2" t="str">
        <f t="shared" si="1"/>
        <v>February</v>
      </c>
      <c r="K42" s="2">
        <v>2005</v>
      </c>
      <c r="L42" s="2" t="s">
        <v>38</v>
      </c>
      <c r="M42" s="2">
        <v>147</v>
      </c>
      <c r="N42" s="2" t="s">
        <v>61</v>
      </c>
      <c r="O42" s="2" t="s">
        <v>49</v>
      </c>
      <c r="P42" s="2" t="s">
        <v>50</v>
      </c>
      <c r="Q42" s="2" t="s">
        <v>51</v>
      </c>
      <c r="R42" s="2" t="s">
        <v>52</v>
      </c>
      <c r="S42" s="2" t="s">
        <v>53</v>
      </c>
      <c r="T42" s="2" t="s">
        <v>45</v>
      </c>
      <c r="U42" s="2" t="s">
        <v>54</v>
      </c>
      <c r="V42" s="2" t="s">
        <v>33</v>
      </c>
      <c r="W42" s="2" t="s">
        <v>34</v>
      </c>
      <c r="X42" s="2" t="s">
        <v>55</v>
      </c>
      <c r="Y42" s="2" t="s">
        <v>56</v>
      </c>
      <c r="Z42" s="2" t="s">
        <v>57</v>
      </c>
    </row>
    <row r="43" spans="1:26" x14ac:dyDescent="0.3">
      <c r="A43" s="2">
        <v>10391</v>
      </c>
      <c r="B43" s="2">
        <v>24</v>
      </c>
      <c r="C43" s="2">
        <v>100</v>
      </c>
      <c r="D43" s="2">
        <v>1</v>
      </c>
      <c r="E43" s="2">
        <v>4042.08</v>
      </c>
      <c r="F43" s="13">
        <v>38420</v>
      </c>
      <c r="G43" s="2" t="s">
        <v>73</v>
      </c>
      <c r="H43" s="2">
        <v>2</v>
      </c>
      <c r="I43" s="2">
        <v>5</v>
      </c>
      <c r="J43" s="2" t="str">
        <f t="shared" si="1"/>
        <v>November</v>
      </c>
      <c r="K43" s="2">
        <v>2005</v>
      </c>
      <c r="L43" s="2" t="s">
        <v>38</v>
      </c>
      <c r="M43" s="2">
        <v>50</v>
      </c>
      <c r="N43" s="2" t="s">
        <v>102</v>
      </c>
      <c r="O43" s="2" t="s">
        <v>40</v>
      </c>
      <c r="P43" s="2" t="s">
        <v>41</v>
      </c>
      <c r="Q43" s="2" t="s">
        <v>42</v>
      </c>
      <c r="R43" s="2" t="s">
        <v>43</v>
      </c>
      <c r="S43" s="2" t="s">
        <v>44</v>
      </c>
      <c r="T43" s="2" t="s">
        <v>45</v>
      </c>
      <c r="U43" s="2" t="s">
        <v>46</v>
      </c>
      <c r="V43" s="2" t="s">
        <v>33</v>
      </c>
      <c r="W43" s="2" t="s">
        <v>34</v>
      </c>
      <c r="X43" s="2" t="s">
        <v>47</v>
      </c>
      <c r="Y43" s="2" t="s">
        <v>48</v>
      </c>
      <c r="Z43" s="2" t="s">
        <v>57</v>
      </c>
    </row>
    <row r="44" spans="1:26" x14ac:dyDescent="0.3">
      <c r="A44" s="2">
        <v>10420</v>
      </c>
      <c r="B44" s="2">
        <v>39</v>
      </c>
      <c r="C44" s="2">
        <v>100</v>
      </c>
      <c r="D44" s="2">
        <v>9</v>
      </c>
      <c r="E44" s="2">
        <v>3933.93</v>
      </c>
      <c r="F44" s="13">
        <v>38501</v>
      </c>
      <c r="G44" s="2" t="s">
        <v>73</v>
      </c>
      <c r="H44" s="2">
        <v>2</v>
      </c>
      <c r="I44" s="2">
        <v>5</v>
      </c>
      <c r="J44" s="2" t="str">
        <f t="shared" si="1"/>
        <v>April</v>
      </c>
      <c r="K44" s="2">
        <v>2005</v>
      </c>
      <c r="L44" s="2" t="s">
        <v>38</v>
      </c>
      <c r="M44" s="2">
        <v>71</v>
      </c>
      <c r="N44" s="2" t="s">
        <v>99</v>
      </c>
      <c r="O44" s="2" t="s">
        <v>40</v>
      </c>
      <c r="P44" s="2" t="s">
        <v>41</v>
      </c>
      <c r="Q44" s="2" t="s">
        <v>42</v>
      </c>
      <c r="R44" s="2" t="s">
        <v>43</v>
      </c>
      <c r="S44" s="2" t="s">
        <v>44</v>
      </c>
      <c r="T44" s="2" t="s">
        <v>45</v>
      </c>
      <c r="U44" s="2" t="s">
        <v>46</v>
      </c>
      <c r="V44" s="2" t="s">
        <v>33</v>
      </c>
      <c r="W44" s="2" t="s">
        <v>34</v>
      </c>
      <c r="X44" s="2" t="s">
        <v>47</v>
      </c>
      <c r="Y44" s="2" t="s">
        <v>48</v>
      </c>
      <c r="Z44" s="2" t="s">
        <v>57</v>
      </c>
    </row>
    <row r="45" spans="1:26" x14ac:dyDescent="0.3">
      <c r="A45" s="2">
        <v>10420</v>
      </c>
      <c r="B45" s="2">
        <v>36</v>
      </c>
      <c r="C45" s="2">
        <v>57.73</v>
      </c>
      <c r="D45" s="2">
        <v>7</v>
      </c>
      <c r="E45" s="2">
        <v>2078.2800000000002</v>
      </c>
      <c r="F45" s="13">
        <v>38501</v>
      </c>
      <c r="G45" s="2" t="s">
        <v>23</v>
      </c>
      <c r="H45" s="2">
        <v>4</v>
      </c>
      <c r="I45" s="2">
        <v>11</v>
      </c>
      <c r="J45" s="2" t="str">
        <f t="shared" si="1"/>
        <v>April</v>
      </c>
      <c r="K45" s="2">
        <v>2004</v>
      </c>
      <c r="L45" s="2" t="s">
        <v>38</v>
      </c>
      <c r="M45" s="2">
        <v>80</v>
      </c>
      <c r="N45" s="2" t="s">
        <v>90</v>
      </c>
      <c r="O45" s="2" t="s">
        <v>26</v>
      </c>
      <c r="P45" s="2" t="s">
        <v>27</v>
      </c>
      <c r="Q45" s="2" t="s">
        <v>28</v>
      </c>
      <c r="R45" s="2" t="s">
        <v>29</v>
      </c>
      <c r="S45" s="2" t="s">
        <v>30</v>
      </c>
      <c r="T45" s="2" t="s">
        <v>31</v>
      </c>
      <c r="U45" s="2" t="s">
        <v>32</v>
      </c>
      <c r="V45" s="2" t="s">
        <v>33</v>
      </c>
      <c r="W45" s="2" t="s">
        <v>34</v>
      </c>
      <c r="X45" s="2" t="s">
        <v>35</v>
      </c>
      <c r="Y45" s="2" t="s">
        <v>36</v>
      </c>
      <c r="Z45" s="2" t="s">
        <v>57</v>
      </c>
    </row>
    <row r="46" spans="1:26" x14ac:dyDescent="0.3">
      <c r="A46" s="2">
        <v>10420</v>
      </c>
      <c r="B46" s="2">
        <v>26</v>
      </c>
      <c r="C46" s="2">
        <v>100</v>
      </c>
      <c r="D46" s="2">
        <v>12</v>
      </c>
      <c r="E46" s="2">
        <v>2617.16</v>
      </c>
      <c r="F46" s="13">
        <v>38501</v>
      </c>
      <c r="G46" s="2" t="s">
        <v>23</v>
      </c>
      <c r="H46" s="2">
        <v>3</v>
      </c>
      <c r="I46" s="2">
        <v>9</v>
      </c>
      <c r="J46" s="2" t="str">
        <f t="shared" si="1"/>
        <v>April</v>
      </c>
      <c r="K46" s="2">
        <v>2003</v>
      </c>
      <c r="L46" s="2" t="s">
        <v>38</v>
      </c>
      <c r="M46" s="2">
        <v>71</v>
      </c>
      <c r="N46" s="2" t="s">
        <v>99</v>
      </c>
      <c r="O46" s="2" t="s">
        <v>49</v>
      </c>
      <c r="P46" s="2" t="s">
        <v>50</v>
      </c>
      <c r="Q46" s="2" t="s">
        <v>51</v>
      </c>
      <c r="R46" s="2" t="s">
        <v>52</v>
      </c>
      <c r="S46" s="2" t="s">
        <v>53</v>
      </c>
      <c r="T46" s="2" t="s">
        <v>45</v>
      </c>
      <c r="U46" s="2" t="s">
        <v>54</v>
      </c>
      <c r="V46" s="2" t="s">
        <v>33</v>
      </c>
      <c r="W46" s="2" t="s">
        <v>34</v>
      </c>
      <c r="X46" s="2" t="s">
        <v>55</v>
      </c>
      <c r="Y46" s="2" t="s">
        <v>56</v>
      </c>
      <c r="Z46" s="2" t="s">
        <v>57</v>
      </c>
    </row>
    <row r="47" spans="1:26" x14ac:dyDescent="0.3">
      <c r="A47" s="2">
        <v>10420</v>
      </c>
      <c r="B47" s="2">
        <v>36</v>
      </c>
      <c r="C47" s="2">
        <v>63.57</v>
      </c>
      <c r="D47" s="2">
        <v>4</v>
      </c>
      <c r="E47" s="2">
        <v>2288.52</v>
      </c>
      <c r="F47" s="13">
        <v>38501</v>
      </c>
      <c r="G47" s="2" t="s">
        <v>23</v>
      </c>
      <c r="H47" s="2">
        <v>1</v>
      </c>
      <c r="I47" s="2">
        <v>1</v>
      </c>
      <c r="J47" s="2" t="str">
        <f t="shared" si="1"/>
        <v>April</v>
      </c>
      <c r="K47" s="2">
        <v>2005</v>
      </c>
      <c r="L47" s="2" t="s">
        <v>38</v>
      </c>
      <c r="M47" s="2">
        <v>169</v>
      </c>
      <c r="N47" s="2" t="s">
        <v>89</v>
      </c>
      <c r="O47" s="2" t="s">
        <v>49</v>
      </c>
      <c r="P47" s="2" t="s">
        <v>50</v>
      </c>
      <c r="Q47" s="2" t="s">
        <v>51</v>
      </c>
      <c r="R47" s="2" t="s">
        <v>52</v>
      </c>
      <c r="S47" s="2" t="s">
        <v>53</v>
      </c>
      <c r="T47" s="2" t="s">
        <v>45</v>
      </c>
      <c r="U47" s="2" t="s">
        <v>54</v>
      </c>
      <c r="V47" s="2" t="s">
        <v>33</v>
      </c>
      <c r="W47" s="2" t="s">
        <v>34</v>
      </c>
      <c r="X47" s="2" t="s">
        <v>55</v>
      </c>
      <c r="Y47" s="2" t="s">
        <v>56</v>
      </c>
      <c r="Z47" s="2" t="s">
        <v>57</v>
      </c>
    </row>
    <row r="48" spans="1:26" x14ac:dyDescent="0.3">
      <c r="A48" s="2">
        <v>10342</v>
      </c>
      <c r="B48" s="2">
        <v>40</v>
      </c>
      <c r="C48" s="2">
        <v>100</v>
      </c>
      <c r="D48" s="2">
        <v>2</v>
      </c>
      <c r="E48" s="2">
        <v>6454.4</v>
      </c>
      <c r="F48" s="13">
        <v>38315</v>
      </c>
      <c r="G48" s="2" t="s">
        <v>23</v>
      </c>
      <c r="H48" s="2">
        <v>1</v>
      </c>
      <c r="I48" s="2">
        <v>2</v>
      </c>
      <c r="J48" s="2" t="str">
        <f t="shared" si="1"/>
        <v>October</v>
      </c>
      <c r="K48" s="2">
        <v>2004</v>
      </c>
      <c r="L48" s="2" t="s">
        <v>24</v>
      </c>
      <c r="M48" s="2">
        <v>193</v>
      </c>
      <c r="N48" s="2" t="s">
        <v>59</v>
      </c>
      <c r="O48" s="2" t="s">
        <v>26</v>
      </c>
      <c r="P48" s="2" t="s">
        <v>27</v>
      </c>
      <c r="Q48" s="2" t="s">
        <v>28</v>
      </c>
      <c r="R48" s="2" t="s">
        <v>29</v>
      </c>
      <c r="S48" s="16" t="s">
        <v>30</v>
      </c>
      <c r="T48" s="2" t="s">
        <v>31</v>
      </c>
      <c r="U48" s="2" t="s">
        <v>32</v>
      </c>
      <c r="V48" s="2" t="s">
        <v>33</v>
      </c>
      <c r="W48" s="2" t="s">
        <v>34</v>
      </c>
      <c r="X48" s="2" t="s">
        <v>35</v>
      </c>
      <c r="Y48" s="2" t="s">
        <v>36</v>
      </c>
      <c r="Z48" s="2" t="s">
        <v>60</v>
      </c>
    </row>
    <row r="49" spans="1:26" x14ac:dyDescent="0.3">
      <c r="A49" s="2">
        <v>10420</v>
      </c>
      <c r="B49" s="2">
        <v>55</v>
      </c>
      <c r="C49" s="2">
        <v>96.3</v>
      </c>
      <c r="D49" s="2">
        <v>8</v>
      </c>
      <c r="E49" s="2">
        <v>5296.5</v>
      </c>
      <c r="F49" s="13">
        <v>38501</v>
      </c>
      <c r="G49" s="2" t="s">
        <v>23</v>
      </c>
      <c r="H49" s="2">
        <v>2</v>
      </c>
      <c r="I49" s="2">
        <v>4</v>
      </c>
      <c r="J49" s="2" t="str">
        <f t="shared" si="1"/>
        <v>April</v>
      </c>
      <c r="K49" s="2">
        <v>2003</v>
      </c>
      <c r="L49" s="2" t="s">
        <v>24</v>
      </c>
      <c r="M49" s="2">
        <v>193</v>
      </c>
      <c r="N49" s="2" t="s">
        <v>59</v>
      </c>
      <c r="O49" s="2" t="s">
        <v>26</v>
      </c>
      <c r="P49" s="2" t="s">
        <v>27</v>
      </c>
      <c r="Q49" s="2" t="s">
        <v>28</v>
      </c>
      <c r="R49" s="2" t="s">
        <v>29</v>
      </c>
      <c r="S49" s="2" t="s">
        <v>30</v>
      </c>
      <c r="T49" s="2" t="s">
        <v>31</v>
      </c>
      <c r="U49" s="2" t="s">
        <v>32</v>
      </c>
      <c r="V49" s="2" t="s">
        <v>33</v>
      </c>
      <c r="W49" s="2" t="s">
        <v>34</v>
      </c>
      <c r="X49" s="2" t="s">
        <v>35</v>
      </c>
      <c r="Y49" s="2" t="s">
        <v>36</v>
      </c>
      <c r="Z49" s="2" t="s">
        <v>60</v>
      </c>
    </row>
    <row r="50" spans="1:26" x14ac:dyDescent="0.3">
      <c r="A50" s="2">
        <v>10139</v>
      </c>
      <c r="B50" s="2">
        <v>46</v>
      </c>
      <c r="C50" s="2">
        <v>100</v>
      </c>
      <c r="D50" s="2">
        <v>1</v>
      </c>
      <c r="E50" s="2">
        <v>5545.76</v>
      </c>
      <c r="F50" s="13">
        <v>37818</v>
      </c>
      <c r="G50" s="2" t="s">
        <v>23</v>
      </c>
      <c r="H50" s="2">
        <v>1</v>
      </c>
      <c r="I50" s="2">
        <v>2</v>
      </c>
      <c r="J50" s="2" t="str">
        <f t="shared" si="1"/>
        <v>November</v>
      </c>
      <c r="K50" s="2">
        <v>2004</v>
      </c>
      <c r="L50" s="2" t="s">
        <v>24</v>
      </c>
      <c r="M50" s="2">
        <v>118</v>
      </c>
      <c r="N50" s="2" t="s">
        <v>58</v>
      </c>
      <c r="O50" s="2" t="s">
        <v>26</v>
      </c>
      <c r="P50" s="2" t="s">
        <v>27</v>
      </c>
      <c r="Q50" s="2" t="s">
        <v>28</v>
      </c>
      <c r="R50" s="2" t="s">
        <v>29</v>
      </c>
      <c r="S50" s="2" t="s">
        <v>30</v>
      </c>
      <c r="T50" s="2" t="s">
        <v>31</v>
      </c>
      <c r="U50" s="2" t="s">
        <v>32</v>
      </c>
      <c r="V50" s="2" t="s">
        <v>33</v>
      </c>
      <c r="W50" s="2" t="s">
        <v>34</v>
      </c>
      <c r="X50" s="2" t="s">
        <v>35</v>
      </c>
      <c r="Y50" s="2" t="s">
        <v>36</v>
      </c>
      <c r="Z50" s="2" t="s">
        <v>37</v>
      </c>
    </row>
    <row r="51" spans="1:26" x14ac:dyDescent="0.3">
      <c r="A51" s="2">
        <v>10169</v>
      </c>
      <c r="B51" s="2">
        <v>34</v>
      </c>
      <c r="C51" s="2">
        <v>100</v>
      </c>
      <c r="D51" s="2">
        <v>12</v>
      </c>
      <c r="E51" s="2">
        <v>3920.88</v>
      </c>
      <c r="F51" s="13">
        <v>37929</v>
      </c>
      <c r="G51" s="2" t="s">
        <v>23</v>
      </c>
      <c r="H51" s="2">
        <v>4</v>
      </c>
      <c r="I51" s="2">
        <v>11</v>
      </c>
      <c r="J51" s="2" t="str">
        <f t="shared" si="1"/>
        <v>May</v>
      </c>
      <c r="K51" s="2">
        <v>2003</v>
      </c>
      <c r="L51" s="2" t="s">
        <v>24</v>
      </c>
      <c r="M51" s="2">
        <v>102</v>
      </c>
      <c r="N51" s="2" t="s">
        <v>126</v>
      </c>
      <c r="O51" s="2" t="s">
        <v>49</v>
      </c>
      <c r="P51" s="2" t="s">
        <v>50</v>
      </c>
      <c r="Q51" s="2" t="s">
        <v>51</v>
      </c>
      <c r="R51" s="2" t="s">
        <v>52</v>
      </c>
      <c r="S51" s="2" t="s">
        <v>53</v>
      </c>
      <c r="T51" s="2" t="s">
        <v>45</v>
      </c>
      <c r="U51" s="2" t="s">
        <v>54</v>
      </c>
      <c r="V51" s="2" t="s">
        <v>33</v>
      </c>
      <c r="W51" s="2" t="s">
        <v>34</v>
      </c>
      <c r="X51" s="2" t="s">
        <v>55</v>
      </c>
      <c r="Y51" s="2" t="s">
        <v>56</v>
      </c>
      <c r="Z51" s="2" t="s">
        <v>37</v>
      </c>
    </row>
    <row r="52" spans="1:26" x14ac:dyDescent="0.3">
      <c r="A52" s="2">
        <v>10169</v>
      </c>
      <c r="B52" s="2">
        <v>48</v>
      </c>
      <c r="C52" s="2">
        <v>80.55</v>
      </c>
      <c r="D52" s="2">
        <v>10</v>
      </c>
      <c r="E52" s="2">
        <v>3866.4</v>
      </c>
      <c r="F52" s="13">
        <v>37929</v>
      </c>
      <c r="G52" s="2" t="s">
        <v>23</v>
      </c>
      <c r="H52" s="2">
        <v>4</v>
      </c>
      <c r="I52" s="2">
        <v>11</v>
      </c>
      <c r="J52" s="2" t="str">
        <f t="shared" si="1"/>
        <v>May</v>
      </c>
      <c r="K52" s="2">
        <v>2003</v>
      </c>
      <c r="L52" s="2" t="s">
        <v>24</v>
      </c>
      <c r="M52" s="2">
        <v>81</v>
      </c>
      <c r="N52" s="2" t="s">
        <v>128</v>
      </c>
      <c r="O52" s="2" t="s">
        <v>49</v>
      </c>
      <c r="P52" s="2" t="s">
        <v>50</v>
      </c>
      <c r="Q52" s="2" t="s">
        <v>51</v>
      </c>
      <c r="R52" s="2" t="s">
        <v>52</v>
      </c>
      <c r="S52" s="2" t="s">
        <v>53</v>
      </c>
      <c r="T52" s="2" t="s">
        <v>45</v>
      </c>
      <c r="U52" s="2" t="s">
        <v>54</v>
      </c>
      <c r="V52" s="2" t="s">
        <v>33</v>
      </c>
      <c r="W52" s="2" t="s">
        <v>34</v>
      </c>
      <c r="X52" s="2" t="s">
        <v>55</v>
      </c>
      <c r="Y52" s="2" t="s">
        <v>56</v>
      </c>
      <c r="Z52" s="2" t="s">
        <v>37</v>
      </c>
    </row>
    <row r="53" spans="1:26" x14ac:dyDescent="0.3">
      <c r="A53" s="2">
        <v>10342</v>
      </c>
      <c r="B53" s="2">
        <v>55</v>
      </c>
      <c r="C53" s="2">
        <v>65.45</v>
      </c>
      <c r="D53" s="2">
        <v>1</v>
      </c>
      <c r="E53" s="2">
        <v>3599.75</v>
      </c>
      <c r="F53" s="13">
        <v>38315</v>
      </c>
      <c r="G53" s="2" t="s">
        <v>23</v>
      </c>
      <c r="H53" s="2">
        <v>2</v>
      </c>
      <c r="I53" s="2">
        <v>4</v>
      </c>
      <c r="J53" s="2" t="str">
        <f t="shared" si="1"/>
        <v>October</v>
      </c>
      <c r="K53" s="2">
        <v>2003</v>
      </c>
      <c r="L53" s="2" t="s">
        <v>24</v>
      </c>
      <c r="M53" s="2">
        <v>112</v>
      </c>
      <c r="N53" s="2" t="s">
        <v>101</v>
      </c>
      <c r="O53" s="2" t="s">
        <v>26</v>
      </c>
      <c r="P53" s="2" t="s">
        <v>27</v>
      </c>
      <c r="Q53" s="2" t="s">
        <v>28</v>
      </c>
      <c r="R53" s="2" t="s">
        <v>29</v>
      </c>
      <c r="S53" s="2" t="s">
        <v>30</v>
      </c>
      <c r="T53" s="2" t="s">
        <v>31</v>
      </c>
      <c r="U53" s="2" t="s">
        <v>32</v>
      </c>
      <c r="V53" s="2" t="s">
        <v>33</v>
      </c>
      <c r="W53" s="2" t="s">
        <v>34</v>
      </c>
      <c r="X53" s="2" t="s">
        <v>35</v>
      </c>
      <c r="Y53" s="2" t="s">
        <v>36</v>
      </c>
      <c r="Z53" s="2" t="s">
        <v>37</v>
      </c>
    </row>
    <row r="54" spans="1:26" x14ac:dyDescent="0.3">
      <c r="A54" s="2">
        <v>10347</v>
      </c>
      <c r="B54" s="2">
        <v>30</v>
      </c>
      <c r="C54" s="2">
        <v>100</v>
      </c>
      <c r="D54" s="2">
        <v>1</v>
      </c>
      <c r="E54" s="2">
        <v>3944.7</v>
      </c>
      <c r="F54" s="13">
        <v>38320</v>
      </c>
      <c r="G54" s="2" t="s">
        <v>23</v>
      </c>
      <c r="H54" s="2">
        <v>1</v>
      </c>
      <c r="I54" s="2">
        <v>2</v>
      </c>
      <c r="J54" s="2" t="str">
        <f t="shared" si="1"/>
        <v>March</v>
      </c>
      <c r="K54" s="2">
        <v>2004</v>
      </c>
      <c r="L54" s="2" t="s">
        <v>24</v>
      </c>
      <c r="M54" s="2">
        <v>95</v>
      </c>
      <c r="N54" s="2" t="s">
        <v>25</v>
      </c>
      <c r="O54" s="2" t="s">
        <v>26</v>
      </c>
      <c r="P54" s="2" t="s">
        <v>27</v>
      </c>
      <c r="Q54" s="2" t="s">
        <v>28</v>
      </c>
      <c r="R54" s="2" t="s">
        <v>29</v>
      </c>
      <c r="S54" s="2" t="s">
        <v>30</v>
      </c>
      <c r="T54" s="2" t="s">
        <v>31</v>
      </c>
      <c r="U54" s="2" t="s">
        <v>32</v>
      </c>
      <c r="V54" s="2" t="s">
        <v>33</v>
      </c>
      <c r="W54" s="2" t="s">
        <v>34</v>
      </c>
      <c r="X54" s="2" t="s">
        <v>35</v>
      </c>
      <c r="Y54" s="2" t="s">
        <v>36</v>
      </c>
      <c r="Z54" s="2" t="s">
        <v>37</v>
      </c>
    </row>
    <row r="55" spans="1:26" x14ac:dyDescent="0.3">
      <c r="A55" s="2">
        <v>10347</v>
      </c>
      <c r="B55" s="2">
        <v>29</v>
      </c>
      <c r="C55" s="2">
        <v>100</v>
      </c>
      <c r="D55" s="2">
        <v>3</v>
      </c>
      <c r="E55" s="2">
        <v>3586.43</v>
      </c>
      <c r="F55" s="13">
        <v>38320</v>
      </c>
      <c r="G55" s="2" t="s">
        <v>23</v>
      </c>
      <c r="H55" s="2">
        <v>4</v>
      </c>
      <c r="I55" s="2">
        <v>11</v>
      </c>
      <c r="J55" s="2" t="str">
        <f t="shared" si="1"/>
        <v>March</v>
      </c>
      <c r="K55" s="2">
        <v>2003</v>
      </c>
      <c r="L55" s="2" t="s">
        <v>24</v>
      </c>
      <c r="M55" s="2">
        <v>150</v>
      </c>
      <c r="N55" s="2" t="s">
        <v>65</v>
      </c>
      <c r="O55" s="2" t="s">
        <v>49</v>
      </c>
      <c r="P55" s="2" t="s">
        <v>50</v>
      </c>
      <c r="Q55" s="2" t="s">
        <v>51</v>
      </c>
      <c r="R55" s="2" t="s">
        <v>52</v>
      </c>
      <c r="S55" s="2" t="s">
        <v>53</v>
      </c>
      <c r="T55" s="2" t="s">
        <v>45</v>
      </c>
      <c r="U55" s="2" t="s">
        <v>54</v>
      </c>
      <c r="V55" s="2" t="s">
        <v>33</v>
      </c>
      <c r="W55" s="2" t="s">
        <v>34</v>
      </c>
      <c r="X55" s="2" t="s">
        <v>55</v>
      </c>
      <c r="Y55" s="2" t="s">
        <v>56</v>
      </c>
      <c r="Z55" s="2" t="s">
        <v>37</v>
      </c>
    </row>
    <row r="56" spans="1:26" x14ac:dyDescent="0.3">
      <c r="A56" s="2">
        <v>10120</v>
      </c>
      <c r="B56" s="2">
        <v>22</v>
      </c>
      <c r="C56" s="2">
        <v>100</v>
      </c>
      <c r="D56" s="2">
        <v>6</v>
      </c>
      <c r="E56" s="2">
        <v>2461.36</v>
      </c>
      <c r="F56" s="13">
        <v>37740</v>
      </c>
      <c r="G56" s="2" t="s">
        <v>23</v>
      </c>
      <c r="H56" s="2">
        <v>2</v>
      </c>
      <c r="I56" s="2">
        <v>4</v>
      </c>
      <c r="J56" s="2" t="str">
        <f t="shared" si="1"/>
        <v>April</v>
      </c>
      <c r="K56" s="2">
        <v>2003</v>
      </c>
      <c r="L56" s="2" t="s">
        <v>24</v>
      </c>
      <c r="M56" s="2">
        <v>99</v>
      </c>
      <c r="N56" s="2" t="s">
        <v>122</v>
      </c>
      <c r="O56" s="2" t="s">
        <v>26</v>
      </c>
      <c r="P56" s="2" t="s">
        <v>27</v>
      </c>
      <c r="Q56" s="2" t="s">
        <v>28</v>
      </c>
      <c r="R56" s="2" t="s">
        <v>29</v>
      </c>
      <c r="S56" s="2" t="s">
        <v>30</v>
      </c>
      <c r="T56" s="2" t="s">
        <v>31</v>
      </c>
      <c r="U56" s="2" t="s">
        <v>32</v>
      </c>
      <c r="V56" s="2" t="s">
        <v>33</v>
      </c>
      <c r="W56" s="2" t="s">
        <v>34</v>
      </c>
      <c r="X56" s="2" t="s">
        <v>35</v>
      </c>
      <c r="Y56" s="2" t="s">
        <v>36</v>
      </c>
      <c r="Z56" s="2" t="s">
        <v>57</v>
      </c>
    </row>
    <row r="57" spans="1:26" x14ac:dyDescent="0.3">
      <c r="A57" s="2">
        <v>10139</v>
      </c>
      <c r="B57" s="2">
        <v>30</v>
      </c>
      <c r="C57" s="2">
        <v>100</v>
      </c>
      <c r="D57" s="2">
        <v>5</v>
      </c>
      <c r="E57" s="2">
        <v>3095.4</v>
      </c>
      <c r="F57" s="13">
        <v>37818</v>
      </c>
      <c r="G57" s="2" t="s">
        <v>23</v>
      </c>
      <c r="H57" s="2">
        <v>1</v>
      </c>
      <c r="I57" s="2">
        <v>2</v>
      </c>
      <c r="J57" s="2" t="str">
        <f t="shared" si="1"/>
        <v>November</v>
      </c>
      <c r="K57" s="2">
        <v>2004</v>
      </c>
      <c r="L57" s="2" t="s">
        <v>24</v>
      </c>
      <c r="M57" s="2">
        <v>112</v>
      </c>
      <c r="N57" s="2" t="s">
        <v>101</v>
      </c>
      <c r="O57" s="2" t="s">
        <v>26</v>
      </c>
      <c r="P57" s="2" t="s">
        <v>27</v>
      </c>
      <c r="Q57" s="2" t="s">
        <v>28</v>
      </c>
      <c r="R57" s="2" t="s">
        <v>29</v>
      </c>
      <c r="S57" s="2" t="s">
        <v>30</v>
      </c>
      <c r="T57" s="2" t="s">
        <v>31</v>
      </c>
      <c r="U57" s="2" t="s">
        <v>32</v>
      </c>
      <c r="V57" s="2" t="s">
        <v>33</v>
      </c>
      <c r="W57" s="2" t="s">
        <v>34</v>
      </c>
      <c r="X57" s="2" t="s">
        <v>35</v>
      </c>
      <c r="Y57" s="2" t="s">
        <v>36</v>
      </c>
      <c r="Z57" s="2" t="s">
        <v>57</v>
      </c>
    </row>
    <row r="58" spans="1:26" x14ac:dyDescent="0.3">
      <c r="A58" s="2">
        <v>10148</v>
      </c>
      <c r="B58" s="2">
        <v>29</v>
      </c>
      <c r="C58" s="2">
        <v>81.25</v>
      </c>
      <c r="D58" s="2">
        <v>2</v>
      </c>
      <c r="E58" s="2">
        <v>2356.25</v>
      </c>
      <c r="F58" s="13">
        <v>37875</v>
      </c>
      <c r="G58" s="2" t="s">
        <v>23</v>
      </c>
      <c r="H58" s="2">
        <v>1</v>
      </c>
      <c r="I58" s="2">
        <v>2</v>
      </c>
      <c r="J58" s="2" t="str">
        <f t="shared" si="1"/>
        <v>August</v>
      </c>
      <c r="K58" s="2">
        <v>2004</v>
      </c>
      <c r="L58" s="2" t="s">
        <v>24</v>
      </c>
      <c r="M58" s="2">
        <v>60</v>
      </c>
      <c r="N58" s="2" t="s">
        <v>83</v>
      </c>
      <c r="O58" s="2" t="s">
        <v>26</v>
      </c>
      <c r="P58" s="2" t="s">
        <v>27</v>
      </c>
      <c r="Q58" s="2" t="s">
        <v>28</v>
      </c>
      <c r="R58" s="2" t="s">
        <v>29</v>
      </c>
      <c r="S58" s="2" t="s">
        <v>30</v>
      </c>
      <c r="T58" s="2" t="s">
        <v>31</v>
      </c>
      <c r="U58" s="2" t="s">
        <v>32</v>
      </c>
      <c r="V58" s="2" t="s">
        <v>33</v>
      </c>
      <c r="W58" s="2" t="s">
        <v>34</v>
      </c>
      <c r="X58" s="2" t="s">
        <v>35</v>
      </c>
      <c r="Y58" s="2" t="s">
        <v>36</v>
      </c>
      <c r="Z58" s="2" t="s">
        <v>57</v>
      </c>
    </row>
    <row r="59" spans="1:26" x14ac:dyDescent="0.3">
      <c r="A59" s="2">
        <v>10169</v>
      </c>
      <c r="B59" s="2">
        <v>26</v>
      </c>
      <c r="C59" s="2">
        <v>39.83</v>
      </c>
      <c r="D59" s="2">
        <v>9</v>
      </c>
      <c r="E59" s="2">
        <v>1035.58</v>
      </c>
      <c r="F59" s="13">
        <v>37929</v>
      </c>
      <c r="G59" s="2" t="s">
        <v>23</v>
      </c>
      <c r="H59" s="2">
        <v>4</v>
      </c>
      <c r="I59" s="2">
        <v>11</v>
      </c>
      <c r="J59" s="2" t="str">
        <f t="shared" si="1"/>
        <v>May</v>
      </c>
      <c r="K59" s="2">
        <v>2003</v>
      </c>
      <c r="L59" s="2" t="s">
        <v>24</v>
      </c>
      <c r="M59" s="2">
        <v>40</v>
      </c>
      <c r="N59" s="2" t="s">
        <v>123</v>
      </c>
      <c r="O59" s="2" t="s">
        <v>49</v>
      </c>
      <c r="P59" s="2" t="s">
        <v>50</v>
      </c>
      <c r="Q59" s="2" t="s">
        <v>51</v>
      </c>
      <c r="R59" s="2" t="s">
        <v>52</v>
      </c>
      <c r="S59" s="2" t="s">
        <v>53</v>
      </c>
      <c r="T59" s="2" t="s">
        <v>45</v>
      </c>
      <c r="U59" s="2" t="s">
        <v>54</v>
      </c>
      <c r="V59" s="2" t="s">
        <v>33</v>
      </c>
      <c r="W59" s="2" t="s">
        <v>34</v>
      </c>
      <c r="X59" s="2" t="s">
        <v>55</v>
      </c>
      <c r="Y59" s="2" t="s">
        <v>56</v>
      </c>
      <c r="Z59" s="2" t="s">
        <v>57</v>
      </c>
    </row>
    <row r="60" spans="1:26" x14ac:dyDescent="0.3">
      <c r="A60" s="2">
        <v>10223</v>
      </c>
      <c r="B60" s="2">
        <v>21</v>
      </c>
      <c r="C60" s="2">
        <v>100</v>
      </c>
      <c r="D60" s="2">
        <v>7</v>
      </c>
      <c r="E60" s="2">
        <v>2475.27</v>
      </c>
      <c r="F60" s="13">
        <v>38037</v>
      </c>
      <c r="G60" s="2" t="s">
        <v>23</v>
      </c>
      <c r="H60" s="2">
        <v>1</v>
      </c>
      <c r="I60" s="2">
        <v>2</v>
      </c>
      <c r="J60" s="2" t="str">
        <f t="shared" si="1"/>
        <v>November</v>
      </c>
      <c r="K60" s="2">
        <v>2004</v>
      </c>
      <c r="L60" s="2" t="s">
        <v>24</v>
      </c>
      <c r="M60" s="2">
        <v>99</v>
      </c>
      <c r="N60" s="2" t="s">
        <v>122</v>
      </c>
      <c r="O60" s="2" t="s">
        <v>26</v>
      </c>
      <c r="P60" s="2" t="s">
        <v>27</v>
      </c>
      <c r="Q60" s="2" t="s">
        <v>28</v>
      </c>
      <c r="R60" s="2" t="s">
        <v>29</v>
      </c>
      <c r="S60" s="2" t="s">
        <v>30</v>
      </c>
      <c r="T60" s="2" t="s">
        <v>31</v>
      </c>
      <c r="U60" s="2" t="s">
        <v>32</v>
      </c>
      <c r="V60" s="2" t="s">
        <v>33</v>
      </c>
      <c r="W60" s="2" t="s">
        <v>34</v>
      </c>
      <c r="X60" s="2" t="s">
        <v>35</v>
      </c>
      <c r="Y60" s="2" t="s">
        <v>36</v>
      </c>
      <c r="Z60" s="2" t="s">
        <v>57</v>
      </c>
    </row>
    <row r="61" spans="1:26" x14ac:dyDescent="0.3">
      <c r="A61" s="2">
        <v>10270</v>
      </c>
      <c r="B61" s="2">
        <v>38</v>
      </c>
      <c r="C61" s="2">
        <v>100</v>
      </c>
      <c r="D61" s="2">
        <v>3</v>
      </c>
      <c r="E61" s="2">
        <v>5383.08</v>
      </c>
      <c r="F61" s="13">
        <v>38187</v>
      </c>
      <c r="G61" s="2" t="s">
        <v>23</v>
      </c>
      <c r="H61" s="2">
        <v>2</v>
      </c>
      <c r="I61" s="2">
        <v>4</v>
      </c>
      <c r="J61" s="2" t="str">
        <f t="shared" si="1"/>
        <v>October</v>
      </c>
      <c r="K61" s="2">
        <v>2003</v>
      </c>
      <c r="L61" s="2" t="s">
        <v>24</v>
      </c>
      <c r="M61" s="2">
        <v>60</v>
      </c>
      <c r="N61" s="2" t="s">
        <v>83</v>
      </c>
      <c r="O61" s="2" t="s">
        <v>26</v>
      </c>
      <c r="P61" s="2" t="s">
        <v>27</v>
      </c>
      <c r="Q61" s="2" t="s">
        <v>28</v>
      </c>
      <c r="R61" s="2" t="s">
        <v>29</v>
      </c>
      <c r="S61" s="2" t="s">
        <v>30</v>
      </c>
      <c r="T61" s="2" t="s">
        <v>31</v>
      </c>
      <c r="U61" s="2" t="s">
        <v>32</v>
      </c>
      <c r="V61" s="2" t="s">
        <v>33</v>
      </c>
      <c r="W61" s="2" t="s">
        <v>34</v>
      </c>
      <c r="X61" s="2" t="s">
        <v>35</v>
      </c>
      <c r="Y61" s="2" t="s">
        <v>36</v>
      </c>
      <c r="Z61" s="2" t="s">
        <v>57</v>
      </c>
    </row>
    <row r="62" spans="1:26" x14ac:dyDescent="0.3">
      <c r="A62" s="2">
        <v>10270</v>
      </c>
      <c r="B62" s="2">
        <v>28</v>
      </c>
      <c r="C62" s="2">
        <v>100</v>
      </c>
      <c r="D62" s="2">
        <v>6</v>
      </c>
      <c r="E62" s="2">
        <v>4094.72</v>
      </c>
      <c r="F62" s="13">
        <v>38187</v>
      </c>
      <c r="G62" s="2" t="s">
        <v>23</v>
      </c>
      <c r="H62" s="2">
        <v>4</v>
      </c>
      <c r="I62" s="2">
        <v>11</v>
      </c>
      <c r="J62" s="2" t="str">
        <f t="shared" si="1"/>
        <v>October</v>
      </c>
      <c r="K62" s="2">
        <v>2003</v>
      </c>
      <c r="L62" s="2" t="s">
        <v>24</v>
      </c>
      <c r="M62" s="2">
        <v>62</v>
      </c>
      <c r="N62" s="2" t="s">
        <v>94</v>
      </c>
      <c r="O62" s="2" t="s">
        <v>49</v>
      </c>
      <c r="P62" s="2" t="s">
        <v>50</v>
      </c>
      <c r="Q62" s="2" t="s">
        <v>51</v>
      </c>
      <c r="R62" s="2" t="s">
        <v>52</v>
      </c>
      <c r="S62" s="2" t="s">
        <v>53</v>
      </c>
      <c r="T62" s="2" t="s">
        <v>45</v>
      </c>
      <c r="U62" s="2" t="s">
        <v>54</v>
      </c>
      <c r="V62" s="2" t="s">
        <v>33</v>
      </c>
      <c r="W62" s="2" t="s">
        <v>34</v>
      </c>
      <c r="X62" s="2" t="s">
        <v>55</v>
      </c>
      <c r="Y62" s="2" t="s">
        <v>56</v>
      </c>
      <c r="Z62" s="2" t="s">
        <v>57</v>
      </c>
    </row>
    <row r="63" spans="1:26" x14ac:dyDescent="0.3">
      <c r="A63" s="2">
        <v>10270</v>
      </c>
      <c r="B63" s="2">
        <v>32</v>
      </c>
      <c r="C63" s="2">
        <v>100</v>
      </c>
      <c r="D63" s="2">
        <v>2</v>
      </c>
      <c r="E63" s="2">
        <v>4302.08</v>
      </c>
      <c r="F63" s="13">
        <v>38187</v>
      </c>
      <c r="G63" s="2" t="s">
        <v>23</v>
      </c>
      <c r="H63" s="2">
        <v>4</v>
      </c>
      <c r="I63" s="2">
        <v>11</v>
      </c>
      <c r="J63" s="2" t="str">
        <f t="shared" si="1"/>
        <v>October</v>
      </c>
      <c r="K63" s="2">
        <v>2003</v>
      </c>
      <c r="L63" s="2" t="s">
        <v>24</v>
      </c>
      <c r="M63" s="2">
        <v>69</v>
      </c>
      <c r="N63" s="2" t="s">
        <v>107</v>
      </c>
      <c r="O63" s="2" t="s">
        <v>49</v>
      </c>
      <c r="P63" s="2" t="s">
        <v>50</v>
      </c>
      <c r="Q63" s="2" t="s">
        <v>51</v>
      </c>
      <c r="R63" s="2" t="s">
        <v>52</v>
      </c>
      <c r="S63" s="2" t="s">
        <v>53</v>
      </c>
      <c r="T63" s="2" t="s">
        <v>45</v>
      </c>
      <c r="U63" s="2" t="s">
        <v>54</v>
      </c>
      <c r="V63" s="2" t="s">
        <v>33</v>
      </c>
      <c r="W63" s="2" t="s">
        <v>34</v>
      </c>
      <c r="X63" s="2" t="s">
        <v>55</v>
      </c>
      <c r="Y63" s="2" t="s">
        <v>56</v>
      </c>
      <c r="Z63" s="2" t="s">
        <v>57</v>
      </c>
    </row>
    <row r="64" spans="1:26" x14ac:dyDescent="0.3">
      <c r="A64" s="2">
        <v>10347</v>
      </c>
      <c r="B64" s="2">
        <v>42</v>
      </c>
      <c r="C64" s="2">
        <v>49.6</v>
      </c>
      <c r="D64" s="2">
        <v>5</v>
      </c>
      <c r="E64" s="2">
        <v>2083.1999999999998</v>
      </c>
      <c r="F64" s="13">
        <v>38320</v>
      </c>
      <c r="G64" s="2" t="s">
        <v>23</v>
      </c>
      <c r="H64" s="2">
        <v>4</v>
      </c>
      <c r="I64" s="2">
        <v>12</v>
      </c>
      <c r="J64" s="2" t="str">
        <f t="shared" si="1"/>
        <v>March</v>
      </c>
      <c r="K64" s="2">
        <v>2004</v>
      </c>
      <c r="L64" s="2" t="s">
        <v>24</v>
      </c>
      <c r="M64" s="2">
        <v>118</v>
      </c>
      <c r="N64" s="2" t="s">
        <v>58</v>
      </c>
      <c r="O64" s="2" t="s">
        <v>40</v>
      </c>
      <c r="P64" s="2" t="s">
        <v>41</v>
      </c>
      <c r="Q64" s="2" t="s">
        <v>42</v>
      </c>
      <c r="R64" s="2" t="s">
        <v>43</v>
      </c>
      <c r="S64" s="2" t="s">
        <v>44</v>
      </c>
      <c r="T64" s="2" t="s">
        <v>45</v>
      </c>
      <c r="U64" s="2" t="s">
        <v>46</v>
      </c>
      <c r="V64" s="2" t="s">
        <v>33</v>
      </c>
      <c r="W64" s="2" t="s">
        <v>34</v>
      </c>
      <c r="X64" s="2" t="s">
        <v>47</v>
      </c>
      <c r="Y64" s="2" t="s">
        <v>48</v>
      </c>
      <c r="Z64" s="2" t="s">
        <v>57</v>
      </c>
    </row>
    <row r="65" spans="1:26" x14ac:dyDescent="0.3">
      <c r="A65" s="2">
        <v>10361</v>
      </c>
      <c r="B65" s="2">
        <v>35</v>
      </c>
      <c r="C65" s="2">
        <v>100</v>
      </c>
      <c r="D65" s="2">
        <v>11</v>
      </c>
      <c r="E65" s="2">
        <v>4277.3500000000004</v>
      </c>
      <c r="F65" s="13">
        <v>38338</v>
      </c>
      <c r="G65" s="2" t="s">
        <v>23</v>
      </c>
      <c r="H65" s="2">
        <v>1</v>
      </c>
      <c r="I65" s="2">
        <v>2</v>
      </c>
      <c r="J65" s="2" t="str">
        <f t="shared" si="1"/>
        <v>May</v>
      </c>
      <c r="K65" s="2">
        <v>2004</v>
      </c>
      <c r="L65" s="2" t="s">
        <v>24</v>
      </c>
      <c r="M65" s="2">
        <v>76</v>
      </c>
      <c r="N65" s="2" t="s">
        <v>105</v>
      </c>
      <c r="O65" s="2" t="s">
        <v>26</v>
      </c>
      <c r="P65" s="2" t="s">
        <v>27</v>
      </c>
      <c r="Q65" s="2" t="s">
        <v>28</v>
      </c>
      <c r="R65" s="2" t="s">
        <v>29</v>
      </c>
      <c r="S65" s="2" t="s">
        <v>30</v>
      </c>
      <c r="T65" s="2" t="s">
        <v>31</v>
      </c>
      <c r="U65" s="2" t="s">
        <v>32</v>
      </c>
      <c r="V65" s="2" t="s">
        <v>33</v>
      </c>
      <c r="W65" s="2" t="s">
        <v>34</v>
      </c>
      <c r="X65" s="2" t="s">
        <v>35</v>
      </c>
      <c r="Y65" s="2" t="s">
        <v>36</v>
      </c>
      <c r="Z65" s="2" t="s">
        <v>57</v>
      </c>
    </row>
    <row r="66" spans="1:26" x14ac:dyDescent="0.3">
      <c r="A66" s="2">
        <v>10370</v>
      </c>
      <c r="B66" s="2">
        <v>22</v>
      </c>
      <c r="C66" s="2">
        <v>96.86</v>
      </c>
      <c r="D66" s="2">
        <v>7</v>
      </c>
      <c r="E66" s="2">
        <v>2130.92</v>
      </c>
      <c r="F66" s="13">
        <v>38372</v>
      </c>
      <c r="G66" s="2" t="s">
        <v>23</v>
      </c>
      <c r="H66" s="2">
        <v>4</v>
      </c>
      <c r="I66" s="2">
        <v>11</v>
      </c>
      <c r="J66" s="2" t="str">
        <f t="shared" ref="J66:J97" si="2">TEXT(DATE(2000,A66,1),"mmmm")</f>
        <v>February</v>
      </c>
      <c r="K66" s="2">
        <v>2004</v>
      </c>
      <c r="L66" s="2" t="s">
        <v>24</v>
      </c>
      <c r="M66" s="2">
        <v>62</v>
      </c>
      <c r="N66" s="2" t="s">
        <v>94</v>
      </c>
      <c r="O66" s="2" t="s">
        <v>26</v>
      </c>
      <c r="P66" s="2" t="s">
        <v>27</v>
      </c>
      <c r="Q66" s="2" t="s">
        <v>28</v>
      </c>
      <c r="R66" s="2" t="s">
        <v>29</v>
      </c>
      <c r="S66" s="2" t="s">
        <v>30</v>
      </c>
      <c r="T66" s="2" t="s">
        <v>31</v>
      </c>
      <c r="U66" s="2" t="s">
        <v>32</v>
      </c>
      <c r="V66" s="2" t="s">
        <v>33</v>
      </c>
      <c r="W66" s="2" t="s">
        <v>34</v>
      </c>
      <c r="X66" s="2" t="s">
        <v>35</v>
      </c>
      <c r="Y66" s="2" t="s">
        <v>36</v>
      </c>
      <c r="Z66" s="2" t="s">
        <v>57</v>
      </c>
    </row>
    <row r="67" spans="1:26" x14ac:dyDescent="0.3">
      <c r="A67" s="2">
        <v>10391</v>
      </c>
      <c r="B67" s="2">
        <v>39</v>
      </c>
      <c r="C67" s="2">
        <v>63.2</v>
      </c>
      <c r="D67" s="2">
        <v>9</v>
      </c>
      <c r="E67" s="2">
        <v>2464.8000000000002</v>
      </c>
      <c r="F67" s="13">
        <v>38420</v>
      </c>
      <c r="G67" s="2" t="s">
        <v>23</v>
      </c>
      <c r="H67" s="2">
        <v>2</v>
      </c>
      <c r="I67" s="2">
        <v>4</v>
      </c>
      <c r="J67" s="2" t="str">
        <f t="shared" si="2"/>
        <v>November</v>
      </c>
      <c r="K67" s="2">
        <v>2003</v>
      </c>
      <c r="L67" s="2" t="s">
        <v>24</v>
      </c>
      <c r="M67" s="2">
        <v>118</v>
      </c>
      <c r="N67" s="2" t="s">
        <v>58</v>
      </c>
      <c r="O67" s="2" t="s">
        <v>26</v>
      </c>
      <c r="P67" s="2" t="s">
        <v>27</v>
      </c>
      <c r="Q67" s="2" t="s">
        <v>28</v>
      </c>
      <c r="R67" s="2" t="s">
        <v>29</v>
      </c>
      <c r="S67" s="2" t="s">
        <v>30</v>
      </c>
      <c r="T67" s="2" t="s">
        <v>31</v>
      </c>
      <c r="U67" s="2" t="s">
        <v>32</v>
      </c>
      <c r="V67" s="2" t="s">
        <v>33</v>
      </c>
      <c r="W67" s="2" t="s">
        <v>34</v>
      </c>
      <c r="X67" s="2" t="s">
        <v>35</v>
      </c>
      <c r="Y67" s="2" t="s">
        <v>36</v>
      </c>
      <c r="Z67" s="2" t="s">
        <v>57</v>
      </c>
    </row>
    <row r="68" spans="1:26" x14ac:dyDescent="0.3">
      <c r="A68" s="2">
        <v>10420</v>
      </c>
      <c r="B68" s="2">
        <v>35</v>
      </c>
      <c r="C68" s="2">
        <v>96.74</v>
      </c>
      <c r="D68" s="2">
        <v>10</v>
      </c>
      <c r="E68" s="2">
        <v>3385.9</v>
      </c>
      <c r="F68" s="13">
        <v>38501</v>
      </c>
      <c r="G68" s="2" t="s">
        <v>23</v>
      </c>
      <c r="H68" s="2">
        <v>2</v>
      </c>
      <c r="I68" s="2">
        <v>4</v>
      </c>
      <c r="J68" s="2" t="str">
        <f t="shared" si="2"/>
        <v>April</v>
      </c>
      <c r="K68" s="2">
        <v>2003</v>
      </c>
      <c r="L68" s="2" t="s">
        <v>24</v>
      </c>
      <c r="M68" s="2">
        <v>76</v>
      </c>
      <c r="N68" s="2" t="s">
        <v>105</v>
      </c>
      <c r="O68" s="2" t="s">
        <v>26</v>
      </c>
      <c r="P68" s="2" t="s">
        <v>27</v>
      </c>
      <c r="Q68" s="2" t="s">
        <v>28</v>
      </c>
      <c r="R68" s="2" t="s">
        <v>29</v>
      </c>
      <c r="S68" s="2" t="s">
        <v>30</v>
      </c>
      <c r="T68" s="2" t="s">
        <v>31</v>
      </c>
      <c r="U68" s="2" t="s">
        <v>32</v>
      </c>
      <c r="V68" s="2" t="s">
        <v>33</v>
      </c>
      <c r="W68" s="2" t="s">
        <v>34</v>
      </c>
      <c r="X68" s="2" t="s">
        <v>35</v>
      </c>
      <c r="Y68" s="2" t="s">
        <v>36</v>
      </c>
      <c r="Z68" s="2" t="s">
        <v>57</v>
      </c>
    </row>
    <row r="69" spans="1:26" x14ac:dyDescent="0.3">
      <c r="A69" s="2">
        <v>10120</v>
      </c>
      <c r="B69" s="2">
        <v>43</v>
      </c>
      <c r="C69" s="2">
        <v>76</v>
      </c>
      <c r="D69" s="2">
        <v>14</v>
      </c>
      <c r="E69" s="2">
        <v>3268</v>
      </c>
      <c r="F69" s="13">
        <v>37740</v>
      </c>
      <c r="G69" s="2" t="s">
        <v>23</v>
      </c>
      <c r="H69" s="2">
        <v>1</v>
      </c>
      <c r="I69" s="2">
        <v>2</v>
      </c>
      <c r="J69" s="2" t="str">
        <f t="shared" si="2"/>
        <v>April</v>
      </c>
      <c r="K69" s="2">
        <v>2004</v>
      </c>
      <c r="L69" s="2" t="s">
        <v>81</v>
      </c>
      <c r="M69" s="2">
        <v>109</v>
      </c>
      <c r="N69" s="2" t="s">
        <v>103</v>
      </c>
      <c r="O69" s="2" t="s">
        <v>26</v>
      </c>
      <c r="P69" s="2" t="s">
        <v>27</v>
      </c>
      <c r="Q69" s="2" t="s">
        <v>28</v>
      </c>
      <c r="R69" s="2" t="s">
        <v>29</v>
      </c>
      <c r="S69" s="2" t="s">
        <v>30</v>
      </c>
      <c r="T69" s="2" t="s">
        <v>31</v>
      </c>
      <c r="U69" s="2" t="s">
        <v>32</v>
      </c>
      <c r="V69" s="2" t="s">
        <v>33</v>
      </c>
      <c r="W69" s="2" t="s">
        <v>34</v>
      </c>
      <c r="X69" s="2" t="s">
        <v>35</v>
      </c>
      <c r="Y69" s="2" t="s">
        <v>36</v>
      </c>
      <c r="Z69" s="2" t="s">
        <v>37</v>
      </c>
    </row>
    <row r="70" spans="1:26" x14ac:dyDescent="0.3">
      <c r="A70" s="2">
        <v>10120</v>
      </c>
      <c r="B70" s="2">
        <v>47</v>
      </c>
      <c r="C70" s="2">
        <v>82.21</v>
      </c>
      <c r="D70" s="2">
        <v>13</v>
      </c>
      <c r="E70" s="2">
        <v>3863.87</v>
      </c>
      <c r="F70" s="13">
        <v>37740</v>
      </c>
      <c r="G70" s="2" t="s">
        <v>23</v>
      </c>
      <c r="H70" s="2">
        <v>2</v>
      </c>
      <c r="I70" s="2">
        <v>4</v>
      </c>
      <c r="J70" s="2" t="str">
        <f t="shared" si="2"/>
        <v>April</v>
      </c>
      <c r="K70" s="2">
        <v>2003</v>
      </c>
      <c r="L70" s="2" t="s">
        <v>81</v>
      </c>
      <c r="M70" s="2">
        <v>91</v>
      </c>
      <c r="N70" s="2" t="s">
        <v>129</v>
      </c>
      <c r="O70" s="2" t="s">
        <v>26</v>
      </c>
      <c r="P70" s="2" t="s">
        <v>27</v>
      </c>
      <c r="Q70" s="2" t="s">
        <v>28</v>
      </c>
      <c r="R70" s="2" t="s">
        <v>29</v>
      </c>
      <c r="S70" s="2" t="s">
        <v>30</v>
      </c>
      <c r="T70" s="2" t="s">
        <v>31</v>
      </c>
      <c r="U70" s="2" t="s">
        <v>32</v>
      </c>
      <c r="V70" s="2" t="s">
        <v>33</v>
      </c>
      <c r="W70" s="2" t="s">
        <v>34</v>
      </c>
      <c r="X70" s="2" t="s">
        <v>35</v>
      </c>
      <c r="Y70" s="2" t="s">
        <v>36</v>
      </c>
      <c r="Z70" s="2" t="s">
        <v>37</v>
      </c>
    </row>
    <row r="71" spans="1:26" x14ac:dyDescent="0.3">
      <c r="A71" s="2">
        <v>10148</v>
      </c>
      <c r="B71" s="2">
        <v>28</v>
      </c>
      <c r="C71" s="2">
        <v>100</v>
      </c>
      <c r="D71" s="2">
        <v>11</v>
      </c>
      <c r="E71" s="2">
        <v>3639.44</v>
      </c>
      <c r="F71" s="13">
        <v>37875</v>
      </c>
      <c r="G71" s="2" t="s">
        <v>23</v>
      </c>
      <c r="H71" s="2">
        <v>4</v>
      </c>
      <c r="I71" s="2">
        <v>12</v>
      </c>
      <c r="J71" s="2" t="str">
        <f t="shared" si="2"/>
        <v>August</v>
      </c>
      <c r="K71" s="2">
        <v>2004</v>
      </c>
      <c r="L71" s="2" t="s">
        <v>81</v>
      </c>
      <c r="M71" s="2">
        <v>74</v>
      </c>
      <c r="N71" s="2" t="s">
        <v>136</v>
      </c>
      <c r="O71" s="2" t="s">
        <v>40</v>
      </c>
      <c r="P71" s="2" t="s">
        <v>41</v>
      </c>
      <c r="Q71" s="2" t="s">
        <v>42</v>
      </c>
      <c r="R71" s="2" t="s">
        <v>43</v>
      </c>
      <c r="S71" s="2" t="s">
        <v>44</v>
      </c>
      <c r="T71" s="2" t="s">
        <v>45</v>
      </c>
      <c r="U71" s="2" t="s">
        <v>46</v>
      </c>
      <c r="V71" s="2" t="s">
        <v>33</v>
      </c>
      <c r="W71" s="2" t="s">
        <v>34</v>
      </c>
      <c r="X71" s="2" t="s">
        <v>47</v>
      </c>
      <c r="Y71" s="2" t="s">
        <v>48</v>
      </c>
      <c r="Z71" s="2" t="s">
        <v>37</v>
      </c>
    </row>
    <row r="72" spans="1:26" x14ac:dyDescent="0.3">
      <c r="A72" s="2">
        <v>10148</v>
      </c>
      <c r="B72" s="2">
        <v>47</v>
      </c>
      <c r="C72" s="2">
        <v>100</v>
      </c>
      <c r="D72" s="2">
        <v>9</v>
      </c>
      <c r="E72" s="2">
        <v>5848.68</v>
      </c>
      <c r="F72" s="13">
        <v>37875</v>
      </c>
      <c r="G72" s="2" t="s">
        <v>23</v>
      </c>
      <c r="H72" s="2">
        <v>1</v>
      </c>
      <c r="I72" s="2">
        <v>2</v>
      </c>
      <c r="J72" s="2" t="str">
        <f t="shared" si="2"/>
        <v>August</v>
      </c>
      <c r="K72" s="2">
        <v>2004</v>
      </c>
      <c r="L72" s="2" t="s">
        <v>81</v>
      </c>
      <c r="M72" s="2">
        <v>84</v>
      </c>
      <c r="N72" s="2" t="s">
        <v>82</v>
      </c>
      <c r="O72" s="2" t="s">
        <v>26</v>
      </c>
      <c r="P72" s="2" t="s">
        <v>27</v>
      </c>
      <c r="Q72" s="2" t="s">
        <v>28</v>
      </c>
      <c r="R72" s="2" t="s">
        <v>29</v>
      </c>
      <c r="S72" s="2" t="s">
        <v>30</v>
      </c>
      <c r="T72" s="2" t="s">
        <v>31</v>
      </c>
      <c r="U72" s="2" t="s">
        <v>32</v>
      </c>
      <c r="V72" s="2" t="s">
        <v>33</v>
      </c>
      <c r="W72" s="2" t="s">
        <v>34</v>
      </c>
      <c r="X72" s="2" t="s">
        <v>35</v>
      </c>
      <c r="Y72" s="2" t="s">
        <v>36</v>
      </c>
      <c r="Z72" s="2" t="s">
        <v>37</v>
      </c>
    </row>
    <row r="73" spans="1:26" x14ac:dyDescent="0.3">
      <c r="A73" s="2">
        <v>10169</v>
      </c>
      <c r="B73" s="2">
        <v>33</v>
      </c>
      <c r="C73" s="2">
        <v>100</v>
      </c>
      <c r="D73" s="2">
        <v>7</v>
      </c>
      <c r="E73" s="2">
        <v>4910.3999999999996</v>
      </c>
      <c r="F73" s="13">
        <v>37929</v>
      </c>
      <c r="G73" s="2" t="s">
        <v>23</v>
      </c>
      <c r="H73" s="2">
        <v>2</v>
      </c>
      <c r="I73" s="2">
        <v>4</v>
      </c>
      <c r="J73" s="2" t="str">
        <f t="shared" si="2"/>
        <v>May</v>
      </c>
      <c r="K73" s="2">
        <v>2003</v>
      </c>
      <c r="L73" s="2" t="s">
        <v>81</v>
      </c>
      <c r="M73" s="2">
        <v>80</v>
      </c>
      <c r="N73" s="2" t="s">
        <v>135</v>
      </c>
      <c r="O73" s="2" t="s">
        <v>26</v>
      </c>
      <c r="P73" s="2" t="s">
        <v>27</v>
      </c>
      <c r="Q73" s="2" t="s">
        <v>28</v>
      </c>
      <c r="R73" s="2" t="s">
        <v>29</v>
      </c>
      <c r="S73" s="2" t="s">
        <v>30</v>
      </c>
      <c r="T73" s="2" t="s">
        <v>31</v>
      </c>
      <c r="U73" s="2" t="s">
        <v>32</v>
      </c>
      <c r="V73" s="2" t="s">
        <v>33</v>
      </c>
      <c r="W73" s="2" t="s">
        <v>34</v>
      </c>
      <c r="X73" s="2" t="s">
        <v>35</v>
      </c>
      <c r="Y73" s="2" t="s">
        <v>36</v>
      </c>
      <c r="Z73" s="2" t="s">
        <v>37</v>
      </c>
    </row>
    <row r="74" spans="1:26" x14ac:dyDescent="0.3">
      <c r="A74" s="2">
        <v>10223</v>
      </c>
      <c r="B74" s="2">
        <v>26</v>
      </c>
      <c r="C74" s="2">
        <v>67.2</v>
      </c>
      <c r="D74" s="2">
        <v>15</v>
      </c>
      <c r="E74" s="2">
        <v>1747.2</v>
      </c>
      <c r="F74" s="13">
        <v>38037</v>
      </c>
      <c r="G74" s="2" t="s">
        <v>23</v>
      </c>
      <c r="H74" s="2">
        <v>2</v>
      </c>
      <c r="I74" s="2">
        <v>4</v>
      </c>
      <c r="J74" s="2" t="str">
        <f t="shared" si="2"/>
        <v>November</v>
      </c>
      <c r="K74" s="2">
        <v>2003</v>
      </c>
      <c r="L74" s="2" t="s">
        <v>81</v>
      </c>
      <c r="M74" s="2">
        <v>118</v>
      </c>
      <c r="N74" s="2" t="s">
        <v>134</v>
      </c>
      <c r="O74" s="2" t="s">
        <v>26</v>
      </c>
      <c r="P74" s="2" t="s">
        <v>27</v>
      </c>
      <c r="Q74" s="2" t="s">
        <v>28</v>
      </c>
      <c r="R74" s="2" t="s">
        <v>29</v>
      </c>
      <c r="S74" s="2" t="s">
        <v>30</v>
      </c>
      <c r="T74" s="2" t="s">
        <v>31</v>
      </c>
      <c r="U74" s="2" t="s">
        <v>32</v>
      </c>
      <c r="V74" s="2" t="s">
        <v>33</v>
      </c>
      <c r="W74" s="2" t="s">
        <v>34</v>
      </c>
      <c r="X74" s="2" t="s">
        <v>35</v>
      </c>
      <c r="Y74" s="2" t="s">
        <v>36</v>
      </c>
      <c r="Z74" s="2" t="s">
        <v>37</v>
      </c>
    </row>
    <row r="75" spans="1:26" x14ac:dyDescent="0.3">
      <c r="A75" s="2">
        <v>10223</v>
      </c>
      <c r="B75" s="2">
        <v>38</v>
      </c>
      <c r="C75" s="2">
        <v>69.31</v>
      </c>
      <c r="D75" s="2">
        <v>6</v>
      </c>
      <c r="E75" s="2">
        <v>2633.78</v>
      </c>
      <c r="F75" s="13">
        <v>38037</v>
      </c>
      <c r="G75" s="2" t="s">
        <v>23</v>
      </c>
      <c r="H75" s="2">
        <v>1</v>
      </c>
      <c r="I75" s="2">
        <v>2</v>
      </c>
      <c r="J75" s="2" t="str">
        <f t="shared" si="2"/>
        <v>November</v>
      </c>
      <c r="K75" s="2">
        <v>2004</v>
      </c>
      <c r="L75" s="2" t="s">
        <v>81</v>
      </c>
      <c r="M75" s="2">
        <v>118</v>
      </c>
      <c r="N75" s="2" t="s">
        <v>134</v>
      </c>
      <c r="O75" s="2" t="s">
        <v>26</v>
      </c>
      <c r="P75" s="2" t="s">
        <v>27</v>
      </c>
      <c r="Q75" s="2" t="s">
        <v>28</v>
      </c>
      <c r="R75" s="2" t="s">
        <v>29</v>
      </c>
      <c r="S75" s="2" t="s">
        <v>30</v>
      </c>
      <c r="T75" s="2" t="s">
        <v>31</v>
      </c>
      <c r="U75" s="2" t="s">
        <v>32</v>
      </c>
      <c r="V75" s="2" t="s">
        <v>33</v>
      </c>
      <c r="W75" s="2" t="s">
        <v>34</v>
      </c>
      <c r="X75" s="2" t="s">
        <v>35</v>
      </c>
      <c r="Y75" s="2" t="s">
        <v>36</v>
      </c>
      <c r="Z75" s="2" t="s">
        <v>37</v>
      </c>
    </row>
    <row r="76" spans="1:26" x14ac:dyDescent="0.3">
      <c r="A76" s="2">
        <v>10347</v>
      </c>
      <c r="B76" s="2">
        <v>27</v>
      </c>
      <c r="C76" s="2">
        <v>100</v>
      </c>
      <c r="D76" s="2">
        <v>2</v>
      </c>
      <c r="E76" s="2">
        <v>4428</v>
      </c>
      <c r="F76" s="13">
        <v>38320</v>
      </c>
      <c r="G76" s="2" t="s">
        <v>23</v>
      </c>
      <c r="H76" s="2">
        <v>2</v>
      </c>
      <c r="I76" s="2">
        <v>4</v>
      </c>
      <c r="J76" s="2" t="str">
        <f t="shared" si="2"/>
        <v>March</v>
      </c>
      <c r="K76" s="2">
        <v>2003</v>
      </c>
      <c r="L76" s="2" t="s">
        <v>81</v>
      </c>
      <c r="M76" s="2">
        <v>109</v>
      </c>
      <c r="N76" s="2" t="s">
        <v>103</v>
      </c>
      <c r="O76" s="2" t="s">
        <v>26</v>
      </c>
      <c r="P76" s="2" t="s">
        <v>27</v>
      </c>
      <c r="Q76" s="2" t="s">
        <v>28</v>
      </c>
      <c r="R76" s="2" t="s">
        <v>29</v>
      </c>
      <c r="S76" s="2" t="s">
        <v>30</v>
      </c>
      <c r="T76" s="2" t="s">
        <v>31</v>
      </c>
      <c r="U76" s="2" t="s">
        <v>32</v>
      </c>
      <c r="V76" s="2" t="s">
        <v>33</v>
      </c>
      <c r="W76" s="2" t="s">
        <v>34</v>
      </c>
      <c r="X76" s="2" t="s">
        <v>35</v>
      </c>
      <c r="Y76" s="2" t="s">
        <v>36</v>
      </c>
      <c r="Z76" s="2" t="s">
        <v>37</v>
      </c>
    </row>
    <row r="77" spans="1:26" x14ac:dyDescent="0.3">
      <c r="A77" s="2">
        <v>10361</v>
      </c>
      <c r="B77" s="2">
        <v>26</v>
      </c>
      <c r="C77" s="2">
        <v>100</v>
      </c>
      <c r="D77" s="2">
        <v>7</v>
      </c>
      <c r="E77" s="2">
        <v>3710.98</v>
      </c>
      <c r="F77" s="13">
        <v>38338</v>
      </c>
      <c r="G77" s="2" t="s">
        <v>23</v>
      </c>
      <c r="H77" s="2">
        <v>4</v>
      </c>
      <c r="I77" s="2">
        <v>12</v>
      </c>
      <c r="J77" s="2" t="str">
        <f t="shared" si="2"/>
        <v>May</v>
      </c>
      <c r="K77" s="2">
        <v>2004</v>
      </c>
      <c r="L77" s="2" t="s">
        <v>81</v>
      </c>
      <c r="M77" s="2">
        <v>68</v>
      </c>
      <c r="N77" s="2" t="s">
        <v>116</v>
      </c>
      <c r="O77" s="2" t="s">
        <v>40</v>
      </c>
      <c r="P77" s="2" t="s">
        <v>41</v>
      </c>
      <c r="Q77" s="2" t="s">
        <v>42</v>
      </c>
      <c r="R77" s="2" t="s">
        <v>43</v>
      </c>
      <c r="S77" s="2" t="s">
        <v>44</v>
      </c>
      <c r="T77" s="2" t="s">
        <v>45</v>
      </c>
      <c r="U77" s="2" t="s">
        <v>46</v>
      </c>
      <c r="V77" s="2" t="s">
        <v>33</v>
      </c>
      <c r="W77" s="2" t="s">
        <v>34</v>
      </c>
      <c r="X77" s="2" t="s">
        <v>47</v>
      </c>
      <c r="Y77" s="2" t="s">
        <v>48</v>
      </c>
      <c r="Z77" s="2" t="s">
        <v>37</v>
      </c>
    </row>
    <row r="78" spans="1:26" x14ac:dyDescent="0.3">
      <c r="A78" s="2">
        <v>10361</v>
      </c>
      <c r="B78" s="2">
        <v>44</v>
      </c>
      <c r="C78" s="2">
        <v>100</v>
      </c>
      <c r="D78" s="2">
        <v>10</v>
      </c>
      <c r="E78" s="2">
        <v>5001.92</v>
      </c>
      <c r="F78" s="13">
        <v>38338</v>
      </c>
      <c r="G78" s="2" t="s">
        <v>23</v>
      </c>
      <c r="H78" s="2">
        <v>4</v>
      </c>
      <c r="I78" s="2">
        <v>12</v>
      </c>
      <c r="J78" s="2" t="str">
        <f t="shared" si="2"/>
        <v>May</v>
      </c>
      <c r="K78" s="2">
        <v>2004</v>
      </c>
      <c r="L78" s="2" t="s">
        <v>81</v>
      </c>
      <c r="M78" s="2">
        <v>80</v>
      </c>
      <c r="N78" s="2" t="s">
        <v>135</v>
      </c>
      <c r="O78" s="2" t="s">
        <v>40</v>
      </c>
      <c r="P78" s="2" t="s">
        <v>41</v>
      </c>
      <c r="Q78" s="2" t="s">
        <v>42</v>
      </c>
      <c r="R78" s="2" t="s">
        <v>43</v>
      </c>
      <c r="S78" s="2" t="s">
        <v>44</v>
      </c>
      <c r="T78" s="2" t="s">
        <v>45</v>
      </c>
      <c r="U78" s="2" t="s">
        <v>46</v>
      </c>
      <c r="V78" s="2" t="s">
        <v>33</v>
      </c>
      <c r="W78" s="2" t="s">
        <v>34</v>
      </c>
      <c r="X78" s="2" t="s">
        <v>47</v>
      </c>
      <c r="Y78" s="2" t="s">
        <v>48</v>
      </c>
      <c r="Z78" s="2" t="s">
        <v>37</v>
      </c>
    </row>
    <row r="79" spans="1:26" x14ac:dyDescent="0.3">
      <c r="A79" s="2">
        <v>10391</v>
      </c>
      <c r="B79" s="2">
        <v>42</v>
      </c>
      <c r="C79" s="2">
        <v>100</v>
      </c>
      <c r="D79" s="2">
        <v>3</v>
      </c>
      <c r="E79" s="2">
        <v>4998</v>
      </c>
      <c r="F79" s="13">
        <v>38420</v>
      </c>
      <c r="G79" s="2" t="s">
        <v>23</v>
      </c>
      <c r="H79" s="2">
        <v>4</v>
      </c>
      <c r="I79" s="2">
        <v>12</v>
      </c>
      <c r="J79" s="2" t="str">
        <f t="shared" si="2"/>
        <v>November</v>
      </c>
      <c r="K79" s="2">
        <v>2004</v>
      </c>
      <c r="L79" s="2" t="s">
        <v>81</v>
      </c>
      <c r="M79" s="2">
        <v>118</v>
      </c>
      <c r="N79" s="2" t="s">
        <v>134</v>
      </c>
      <c r="O79" s="2" t="s">
        <v>40</v>
      </c>
      <c r="P79" s="2" t="s">
        <v>41</v>
      </c>
      <c r="Q79" s="2" t="s">
        <v>42</v>
      </c>
      <c r="R79" s="2" t="s">
        <v>43</v>
      </c>
      <c r="S79" s="2" t="s">
        <v>44</v>
      </c>
      <c r="T79" s="2" t="s">
        <v>45</v>
      </c>
      <c r="U79" s="2" t="s">
        <v>46</v>
      </c>
      <c r="V79" s="2" t="s">
        <v>33</v>
      </c>
      <c r="W79" s="2" t="s">
        <v>34</v>
      </c>
      <c r="X79" s="2" t="s">
        <v>47</v>
      </c>
      <c r="Y79" s="2" t="s">
        <v>48</v>
      </c>
      <c r="Z79" s="2" t="s">
        <v>37</v>
      </c>
    </row>
    <row r="80" spans="1:26" x14ac:dyDescent="0.3">
      <c r="A80" s="2">
        <v>10120</v>
      </c>
      <c r="B80" s="2">
        <v>24</v>
      </c>
      <c r="C80" s="2">
        <v>100</v>
      </c>
      <c r="D80" s="2">
        <v>15</v>
      </c>
      <c r="E80" s="2">
        <v>2584.8000000000002</v>
      </c>
      <c r="F80" s="13">
        <v>37740</v>
      </c>
      <c r="G80" s="2" t="s">
        <v>23</v>
      </c>
      <c r="H80" s="2">
        <v>2</v>
      </c>
      <c r="I80" s="2">
        <v>4</v>
      </c>
      <c r="J80" s="2" t="str">
        <f t="shared" si="2"/>
        <v>April</v>
      </c>
      <c r="K80" s="2">
        <v>2003</v>
      </c>
      <c r="L80" s="2" t="s">
        <v>81</v>
      </c>
      <c r="M80" s="2">
        <v>84</v>
      </c>
      <c r="N80" s="2" t="s">
        <v>82</v>
      </c>
      <c r="O80" s="2" t="s">
        <v>26</v>
      </c>
      <c r="P80" s="2" t="s">
        <v>27</v>
      </c>
      <c r="Q80" s="2" t="s">
        <v>28</v>
      </c>
      <c r="R80" s="2" t="s">
        <v>29</v>
      </c>
      <c r="S80" s="2" t="s">
        <v>30</v>
      </c>
      <c r="T80" s="2" t="s">
        <v>31</v>
      </c>
      <c r="U80" s="2" t="s">
        <v>32</v>
      </c>
      <c r="V80" s="2" t="s">
        <v>33</v>
      </c>
      <c r="W80" s="2" t="s">
        <v>34</v>
      </c>
      <c r="X80" s="2" t="s">
        <v>35</v>
      </c>
      <c r="Y80" s="2" t="s">
        <v>36</v>
      </c>
      <c r="Z80" s="2" t="s">
        <v>57</v>
      </c>
    </row>
    <row r="81" spans="1:26" x14ac:dyDescent="0.3">
      <c r="A81" s="2">
        <v>10120</v>
      </c>
      <c r="B81" s="2">
        <v>29</v>
      </c>
      <c r="C81" s="2">
        <v>85.49</v>
      </c>
      <c r="D81" s="2">
        <v>9</v>
      </c>
      <c r="E81" s="2">
        <v>2479.21</v>
      </c>
      <c r="F81" s="13">
        <v>37740</v>
      </c>
      <c r="G81" s="2" t="s">
        <v>23</v>
      </c>
      <c r="H81" s="2">
        <v>2</v>
      </c>
      <c r="I81" s="2">
        <v>4</v>
      </c>
      <c r="J81" s="2" t="str">
        <f t="shared" si="2"/>
        <v>April</v>
      </c>
      <c r="K81" s="2">
        <v>2003</v>
      </c>
      <c r="L81" s="2" t="s">
        <v>81</v>
      </c>
      <c r="M81" s="2">
        <v>72</v>
      </c>
      <c r="N81" s="2" t="s">
        <v>119</v>
      </c>
      <c r="O81" s="2" t="s">
        <v>26</v>
      </c>
      <c r="P81" s="2" t="s">
        <v>27</v>
      </c>
      <c r="Q81" s="2" t="s">
        <v>28</v>
      </c>
      <c r="R81" s="2" t="s">
        <v>29</v>
      </c>
      <c r="S81" s="2" t="s">
        <v>30</v>
      </c>
      <c r="T81" s="2" t="s">
        <v>31</v>
      </c>
      <c r="U81" s="2" t="s">
        <v>32</v>
      </c>
      <c r="V81" s="2" t="s">
        <v>33</v>
      </c>
      <c r="W81" s="2" t="s">
        <v>34</v>
      </c>
      <c r="X81" s="2" t="s">
        <v>35</v>
      </c>
      <c r="Y81" s="2" t="s">
        <v>36</v>
      </c>
      <c r="Z81" s="2" t="s">
        <v>57</v>
      </c>
    </row>
    <row r="82" spans="1:26" x14ac:dyDescent="0.3">
      <c r="A82" s="2">
        <v>10223</v>
      </c>
      <c r="B82" s="2">
        <v>23</v>
      </c>
      <c r="C82" s="2">
        <v>74.62</v>
      </c>
      <c r="D82" s="2">
        <v>10</v>
      </c>
      <c r="E82" s="2">
        <v>1716.26</v>
      </c>
      <c r="F82" s="13">
        <v>38037</v>
      </c>
      <c r="G82" s="2" t="s">
        <v>23</v>
      </c>
      <c r="H82" s="2">
        <v>1</v>
      </c>
      <c r="I82" s="2">
        <v>2</v>
      </c>
      <c r="J82" s="2" t="str">
        <f t="shared" si="2"/>
        <v>November</v>
      </c>
      <c r="K82" s="2">
        <v>2004</v>
      </c>
      <c r="L82" s="2" t="s">
        <v>81</v>
      </c>
      <c r="M82" s="2">
        <v>72</v>
      </c>
      <c r="N82" s="2" t="s">
        <v>119</v>
      </c>
      <c r="O82" s="2" t="s">
        <v>26</v>
      </c>
      <c r="P82" s="2" t="s">
        <v>27</v>
      </c>
      <c r="Q82" s="2" t="s">
        <v>28</v>
      </c>
      <c r="R82" s="2" t="s">
        <v>29</v>
      </c>
      <c r="S82" s="2" t="s">
        <v>30</v>
      </c>
      <c r="T82" s="2" t="s">
        <v>31</v>
      </c>
      <c r="U82" s="2" t="s">
        <v>32</v>
      </c>
      <c r="V82" s="2" t="s">
        <v>33</v>
      </c>
      <c r="W82" s="2" t="s">
        <v>34</v>
      </c>
      <c r="X82" s="2" t="s">
        <v>35</v>
      </c>
      <c r="Y82" s="2" t="s">
        <v>36</v>
      </c>
      <c r="Z82" s="2" t="s">
        <v>57</v>
      </c>
    </row>
    <row r="83" spans="1:26" x14ac:dyDescent="0.3">
      <c r="A83" s="2">
        <v>10223</v>
      </c>
      <c r="B83" s="2">
        <v>25</v>
      </c>
      <c r="C83" s="2">
        <v>100</v>
      </c>
      <c r="D83" s="2">
        <v>14</v>
      </c>
      <c r="E83" s="2">
        <v>2534.75</v>
      </c>
      <c r="F83" s="13">
        <v>38037</v>
      </c>
      <c r="G83" s="2" t="s">
        <v>23</v>
      </c>
      <c r="H83" s="2">
        <v>1</v>
      </c>
      <c r="I83" s="2">
        <v>2</v>
      </c>
      <c r="J83" s="2" t="str">
        <f t="shared" si="2"/>
        <v>November</v>
      </c>
      <c r="K83" s="2">
        <v>2004</v>
      </c>
      <c r="L83" s="2" t="s">
        <v>81</v>
      </c>
      <c r="M83" s="2">
        <v>91</v>
      </c>
      <c r="N83" s="2" t="s">
        <v>129</v>
      </c>
      <c r="O83" s="2" t="s">
        <v>26</v>
      </c>
      <c r="P83" s="2" t="s">
        <v>27</v>
      </c>
      <c r="Q83" s="2" t="s">
        <v>28</v>
      </c>
      <c r="R83" s="2" t="s">
        <v>29</v>
      </c>
      <c r="S83" s="2" t="s">
        <v>30</v>
      </c>
      <c r="T83" s="2" t="s">
        <v>31</v>
      </c>
      <c r="U83" s="2" t="s">
        <v>32</v>
      </c>
      <c r="V83" s="2" t="s">
        <v>33</v>
      </c>
      <c r="W83" s="2" t="s">
        <v>34</v>
      </c>
      <c r="X83" s="2" t="s">
        <v>35</v>
      </c>
      <c r="Y83" s="2" t="s">
        <v>36</v>
      </c>
      <c r="Z83" s="2" t="s">
        <v>57</v>
      </c>
    </row>
    <row r="84" spans="1:26" x14ac:dyDescent="0.3">
      <c r="A84" s="2">
        <v>10347</v>
      </c>
      <c r="B84" s="2">
        <v>34</v>
      </c>
      <c r="C84" s="2">
        <v>64.959999999999994</v>
      </c>
      <c r="D84" s="2">
        <v>10</v>
      </c>
      <c r="E84" s="2">
        <v>2208.64</v>
      </c>
      <c r="F84" s="13">
        <v>38320</v>
      </c>
      <c r="G84" s="2" t="s">
        <v>23</v>
      </c>
      <c r="H84" s="2">
        <v>4</v>
      </c>
      <c r="I84" s="2">
        <v>12</v>
      </c>
      <c r="J84" s="2" t="str">
        <f t="shared" si="2"/>
        <v>March</v>
      </c>
      <c r="K84" s="2">
        <v>2004</v>
      </c>
      <c r="L84" s="2" t="s">
        <v>81</v>
      </c>
      <c r="M84" s="2">
        <v>99</v>
      </c>
      <c r="N84" s="2" t="s">
        <v>132</v>
      </c>
      <c r="O84" s="2" t="s">
        <v>40</v>
      </c>
      <c r="P84" s="2" t="s">
        <v>41</v>
      </c>
      <c r="Q84" s="2" t="s">
        <v>42</v>
      </c>
      <c r="R84" s="2" t="s">
        <v>43</v>
      </c>
      <c r="S84" s="2" t="s">
        <v>44</v>
      </c>
      <c r="T84" s="2" t="s">
        <v>45</v>
      </c>
      <c r="U84" s="2" t="s">
        <v>46</v>
      </c>
      <c r="V84" s="2" t="s">
        <v>33</v>
      </c>
      <c r="W84" s="2" t="s">
        <v>34</v>
      </c>
      <c r="X84" s="2" t="s">
        <v>47</v>
      </c>
      <c r="Y84" s="2" t="s">
        <v>48</v>
      </c>
      <c r="Z84" s="2" t="s">
        <v>57</v>
      </c>
    </row>
    <row r="85" spans="1:26" x14ac:dyDescent="0.3">
      <c r="A85" s="2">
        <v>10361</v>
      </c>
      <c r="B85" s="2">
        <v>20</v>
      </c>
      <c r="C85" s="2">
        <v>60.54</v>
      </c>
      <c r="D85" s="2">
        <v>4</v>
      </c>
      <c r="E85" s="2">
        <v>1210.8</v>
      </c>
      <c r="F85" s="13">
        <v>38338</v>
      </c>
      <c r="G85" s="2" t="s">
        <v>23</v>
      </c>
      <c r="H85" s="2">
        <v>4</v>
      </c>
      <c r="I85" s="2">
        <v>12</v>
      </c>
      <c r="J85" s="2" t="str">
        <f t="shared" si="2"/>
        <v>May</v>
      </c>
      <c r="K85" s="2">
        <v>2004</v>
      </c>
      <c r="L85" s="2" t="s">
        <v>81</v>
      </c>
      <c r="M85" s="2">
        <v>91</v>
      </c>
      <c r="N85" s="2" t="s">
        <v>129</v>
      </c>
      <c r="O85" s="2" t="s">
        <v>40</v>
      </c>
      <c r="P85" s="2" t="s">
        <v>41</v>
      </c>
      <c r="Q85" s="2" t="s">
        <v>42</v>
      </c>
      <c r="R85" s="2" t="s">
        <v>43</v>
      </c>
      <c r="S85" s="2" t="s">
        <v>44</v>
      </c>
      <c r="T85" s="2" t="s">
        <v>45</v>
      </c>
      <c r="U85" s="2" t="s">
        <v>46</v>
      </c>
      <c r="V85" s="2" t="s">
        <v>33</v>
      </c>
      <c r="W85" s="2" t="s">
        <v>34</v>
      </c>
      <c r="X85" s="2" t="s">
        <v>47</v>
      </c>
      <c r="Y85" s="2" t="s">
        <v>48</v>
      </c>
      <c r="Z85" s="2" t="s">
        <v>57</v>
      </c>
    </row>
    <row r="86" spans="1:26" x14ac:dyDescent="0.3">
      <c r="A86" s="2">
        <v>10361</v>
      </c>
      <c r="B86" s="2">
        <v>25</v>
      </c>
      <c r="C86" s="2">
        <v>62.46</v>
      </c>
      <c r="D86" s="2">
        <v>1</v>
      </c>
      <c r="E86" s="2">
        <v>1561.5</v>
      </c>
      <c r="F86" s="13">
        <v>38338</v>
      </c>
      <c r="G86" s="2" t="s">
        <v>23</v>
      </c>
      <c r="H86" s="2">
        <v>4</v>
      </c>
      <c r="I86" s="2">
        <v>12</v>
      </c>
      <c r="J86" s="2" t="str">
        <f t="shared" si="2"/>
        <v>May</v>
      </c>
      <c r="K86" s="2">
        <v>2004</v>
      </c>
      <c r="L86" s="2" t="s">
        <v>81</v>
      </c>
      <c r="M86" s="2">
        <v>72</v>
      </c>
      <c r="N86" s="2" t="s">
        <v>119</v>
      </c>
      <c r="O86" s="2" t="s">
        <v>40</v>
      </c>
      <c r="P86" s="2" t="s">
        <v>41</v>
      </c>
      <c r="Q86" s="2" t="s">
        <v>42</v>
      </c>
      <c r="R86" s="2" t="s">
        <v>43</v>
      </c>
      <c r="S86" s="2" t="s">
        <v>44</v>
      </c>
      <c r="T86" s="2" t="s">
        <v>45</v>
      </c>
      <c r="U86" s="2" t="s">
        <v>46</v>
      </c>
      <c r="V86" s="2" t="s">
        <v>33</v>
      </c>
      <c r="W86" s="2" t="s">
        <v>34</v>
      </c>
      <c r="X86" s="2" t="s">
        <v>47</v>
      </c>
      <c r="Y86" s="2" t="s">
        <v>48</v>
      </c>
      <c r="Z86" s="2" t="s">
        <v>57</v>
      </c>
    </row>
    <row r="87" spans="1:26" x14ac:dyDescent="0.3">
      <c r="A87" s="2">
        <v>10370</v>
      </c>
      <c r="B87" s="2">
        <v>29</v>
      </c>
      <c r="C87" s="2">
        <v>57.53</v>
      </c>
      <c r="D87" s="2">
        <v>6</v>
      </c>
      <c r="E87" s="2">
        <v>1668.37</v>
      </c>
      <c r="F87" s="13">
        <v>38372</v>
      </c>
      <c r="G87" s="2" t="s">
        <v>23</v>
      </c>
      <c r="H87" s="2">
        <v>4</v>
      </c>
      <c r="I87" s="2">
        <v>12</v>
      </c>
      <c r="J87" s="2" t="str">
        <f t="shared" si="2"/>
        <v>February</v>
      </c>
      <c r="K87" s="2">
        <v>2004</v>
      </c>
      <c r="L87" s="2" t="s">
        <v>81</v>
      </c>
      <c r="M87" s="2">
        <v>49</v>
      </c>
      <c r="N87" s="2" t="s">
        <v>137</v>
      </c>
      <c r="O87" s="2" t="s">
        <v>40</v>
      </c>
      <c r="P87" s="2" t="s">
        <v>41</v>
      </c>
      <c r="Q87" s="2" t="s">
        <v>42</v>
      </c>
      <c r="R87" s="2" t="s">
        <v>43</v>
      </c>
      <c r="S87" s="2" t="s">
        <v>44</v>
      </c>
      <c r="T87" s="2" t="s">
        <v>45</v>
      </c>
      <c r="U87" s="2" t="s">
        <v>46</v>
      </c>
      <c r="V87" s="2" t="s">
        <v>33</v>
      </c>
      <c r="W87" s="2" t="s">
        <v>34</v>
      </c>
      <c r="X87" s="2" t="s">
        <v>47</v>
      </c>
      <c r="Y87" s="2" t="s">
        <v>48</v>
      </c>
      <c r="Z87" s="2" t="s">
        <v>57</v>
      </c>
    </row>
    <row r="88" spans="1:26" x14ac:dyDescent="0.3">
      <c r="A88" s="2">
        <v>10391</v>
      </c>
      <c r="B88" s="2">
        <v>37</v>
      </c>
      <c r="C88" s="2">
        <v>46.9</v>
      </c>
      <c r="D88" s="2">
        <v>7</v>
      </c>
      <c r="E88" s="2">
        <v>1735.3</v>
      </c>
      <c r="F88" s="13">
        <v>38420</v>
      </c>
      <c r="G88" s="2" t="s">
        <v>23</v>
      </c>
      <c r="H88" s="2">
        <v>2</v>
      </c>
      <c r="I88" s="2">
        <v>4</v>
      </c>
      <c r="J88" s="2" t="str">
        <f t="shared" si="2"/>
        <v>November</v>
      </c>
      <c r="K88" s="2">
        <v>2003</v>
      </c>
      <c r="L88" s="2" t="s">
        <v>81</v>
      </c>
      <c r="M88" s="2">
        <v>99</v>
      </c>
      <c r="N88" s="2" t="s">
        <v>132</v>
      </c>
      <c r="O88" s="2" t="s">
        <v>26</v>
      </c>
      <c r="P88" s="2" t="s">
        <v>27</v>
      </c>
      <c r="Q88" s="2" t="s">
        <v>28</v>
      </c>
      <c r="R88" s="2" t="s">
        <v>29</v>
      </c>
      <c r="S88" s="2" t="s">
        <v>30</v>
      </c>
      <c r="T88" s="2" t="s">
        <v>31</v>
      </c>
      <c r="U88" s="2" t="s">
        <v>32</v>
      </c>
      <c r="V88" s="2" t="s">
        <v>33</v>
      </c>
      <c r="W88" s="2" t="s">
        <v>34</v>
      </c>
      <c r="X88" s="2" t="s">
        <v>35</v>
      </c>
      <c r="Y88" s="2" t="s">
        <v>36</v>
      </c>
      <c r="Z88" s="2" t="s">
        <v>57</v>
      </c>
    </row>
    <row r="89" spans="1:26" x14ac:dyDescent="0.3">
      <c r="A89" s="2">
        <v>10420</v>
      </c>
      <c r="B89" s="2">
        <v>37</v>
      </c>
      <c r="C89" s="2">
        <v>60.37</v>
      </c>
      <c r="D89" s="2">
        <v>13</v>
      </c>
      <c r="E89" s="2">
        <v>2233.69</v>
      </c>
      <c r="F89" s="13">
        <v>38501</v>
      </c>
      <c r="G89" s="2" t="s">
        <v>23</v>
      </c>
      <c r="H89" s="2">
        <v>1</v>
      </c>
      <c r="I89" s="2">
        <v>2</v>
      </c>
      <c r="J89" s="2" t="str">
        <f t="shared" si="2"/>
        <v>April</v>
      </c>
      <c r="K89" s="2">
        <v>2004</v>
      </c>
      <c r="L89" s="2" t="s">
        <v>81</v>
      </c>
      <c r="M89" s="2">
        <v>80</v>
      </c>
      <c r="N89" s="2" t="s">
        <v>135</v>
      </c>
      <c r="O89" s="2" t="s">
        <v>26</v>
      </c>
      <c r="P89" s="2" t="s">
        <v>27</v>
      </c>
      <c r="Q89" s="2" t="s">
        <v>28</v>
      </c>
      <c r="R89" s="2" t="s">
        <v>29</v>
      </c>
      <c r="S89" s="2" t="s">
        <v>30</v>
      </c>
      <c r="T89" s="2" t="s">
        <v>31</v>
      </c>
      <c r="U89" s="2" t="s">
        <v>32</v>
      </c>
      <c r="V89" s="2" t="s">
        <v>33</v>
      </c>
      <c r="W89" s="2" t="s">
        <v>34</v>
      </c>
      <c r="X89" s="2" t="s">
        <v>35</v>
      </c>
      <c r="Y89" s="2" t="s">
        <v>36</v>
      </c>
      <c r="Z89" s="2" t="s">
        <v>57</v>
      </c>
    </row>
    <row r="90" spans="1:26" x14ac:dyDescent="0.3">
      <c r="A90" s="2">
        <v>10169</v>
      </c>
      <c r="B90" s="2">
        <v>34</v>
      </c>
      <c r="C90" s="2">
        <v>50.21</v>
      </c>
      <c r="D90" s="2">
        <v>1</v>
      </c>
      <c r="E90" s="2">
        <v>1707.14</v>
      </c>
      <c r="F90" s="13">
        <v>37929</v>
      </c>
      <c r="G90" s="2" t="s">
        <v>23</v>
      </c>
      <c r="H90" s="2">
        <v>4</v>
      </c>
      <c r="I90" s="2">
        <v>12</v>
      </c>
      <c r="J90" s="2" t="str">
        <f t="shared" si="2"/>
        <v>May</v>
      </c>
      <c r="K90" s="2">
        <v>2004</v>
      </c>
      <c r="L90" s="2" t="s">
        <v>130</v>
      </c>
      <c r="M90" s="2">
        <v>90</v>
      </c>
      <c r="N90" s="2" t="s">
        <v>131</v>
      </c>
      <c r="O90" s="2" t="s">
        <v>40</v>
      </c>
      <c r="P90" s="2" t="s">
        <v>41</v>
      </c>
      <c r="Q90" s="2" t="s">
        <v>42</v>
      </c>
      <c r="R90" s="2" t="s">
        <v>43</v>
      </c>
      <c r="S90" s="2" t="s">
        <v>44</v>
      </c>
      <c r="T90" s="2" t="s">
        <v>45</v>
      </c>
      <c r="U90" s="2" t="s">
        <v>46</v>
      </c>
      <c r="V90" s="2" t="s">
        <v>33</v>
      </c>
      <c r="W90" s="2" t="s">
        <v>34</v>
      </c>
      <c r="X90" s="2" t="s">
        <v>47</v>
      </c>
      <c r="Y90" s="2" t="s">
        <v>48</v>
      </c>
      <c r="Z90" s="2" t="s">
        <v>57</v>
      </c>
    </row>
    <row r="91" spans="1:26" x14ac:dyDescent="0.3">
      <c r="A91" s="2">
        <v>10125</v>
      </c>
      <c r="B91" s="2">
        <v>34</v>
      </c>
      <c r="C91" s="2">
        <v>100</v>
      </c>
      <c r="D91" s="2">
        <v>2</v>
      </c>
      <c r="E91" s="2">
        <v>6483.46</v>
      </c>
      <c r="F91" s="13">
        <v>37762</v>
      </c>
      <c r="G91" s="2" t="s">
        <v>23</v>
      </c>
      <c r="H91" s="2">
        <v>1</v>
      </c>
      <c r="I91" s="2">
        <v>1</v>
      </c>
      <c r="J91" s="2" t="str">
        <f t="shared" si="2"/>
        <v>September</v>
      </c>
      <c r="K91" s="2">
        <v>2005</v>
      </c>
      <c r="L91" s="2" t="s">
        <v>63</v>
      </c>
      <c r="M91" s="2">
        <v>136</v>
      </c>
      <c r="N91" s="2" t="s">
        <v>64</v>
      </c>
      <c r="O91" s="2" t="s">
        <v>49</v>
      </c>
      <c r="P91" s="2" t="s">
        <v>50</v>
      </c>
      <c r="Q91" s="2" t="s">
        <v>51</v>
      </c>
      <c r="R91" s="2" t="s">
        <v>52</v>
      </c>
      <c r="S91" s="2" t="s">
        <v>53</v>
      </c>
      <c r="T91" s="2" t="s">
        <v>45</v>
      </c>
      <c r="U91" s="2" t="s">
        <v>54</v>
      </c>
      <c r="V91" s="2" t="s">
        <v>33</v>
      </c>
      <c r="W91" s="2" t="s">
        <v>34</v>
      </c>
      <c r="X91" s="2" t="s">
        <v>55</v>
      </c>
      <c r="Y91" s="2" t="s">
        <v>56</v>
      </c>
      <c r="Z91" s="2" t="s">
        <v>60</v>
      </c>
    </row>
    <row r="92" spans="1:26" x14ac:dyDescent="0.3">
      <c r="A92" s="2">
        <v>10169</v>
      </c>
      <c r="B92" s="2">
        <v>36</v>
      </c>
      <c r="C92" s="2">
        <v>63.84</v>
      </c>
      <c r="D92" s="2">
        <v>3</v>
      </c>
      <c r="E92" s="2">
        <v>2298.2399999999998</v>
      </c>
      <c r="F92" s="13">
        <v>37929</v>
      </c>
      <c r="G92" s="2" t="s">
        <v>23</v>
      </c>
      <c r="H92" s="2">
        <v>3</v>
      </c>
      <c r="I92" s="2">
        <v>7</v>
      </c>
      <c r="J92" s="2" t="str">
        <f t="shared" si="2"/>
        <v>May</v>
      </c>
      <c r="K92" s="2">
        <v>2004</v>
      </c>
      <c r="L92" s="2" t="s">
        <v>63</v>
      </c>
      <c r="M92" s="2">
        <v>136</v>
      </c>
      <c r="N92" s="2" t="s">
        <v>64</v>
      </c>
      <c r="O92" s="2" t="s">
        <v>40</v>
      </c>
      <c r="P92" s="2" t="s">
        <v>41</v>
      </c>
      <c r="Q92" s="2" t="s">
        <v>42</v>
      </c>
      <c r="R92" s="2" t="s">
        <v>43</v>
      </c>
      <c r="S92" s="2" t="s">
        <v>44</v>
      </c>
      <c r="T92" s="2" t="s">
        <v>45</v>
      </c>
      <c r="U92" s="2" t="s">
        <v>46</v>
      </c>
      <c r="V92" s="2" t="s">
        <v>33</v>
      </c>
      <c r="W92" s="2" t="s">
        <v>34</v>
      </c>
      <c r="X92" s="2" t="s">
        <v>47</v>
      </c>
      <c r="Y92" s="2" t="s">
        <v>48</v>
      </c>
      <c r="Z92" s="2" t="s">
        <v>37</v>
      </c>
    </row>
    <row r="93" spans="1:26" x14ac:dyDescent="0.3">
      <c r="A93" s="2">
        <v>10169</v>
      </c>
      <c r="B93" s="2">
        <v>24</v>
      </c>
      <c r="C93" s="2">
        <v>94.58</v>
      </c>
      <c r="D93" s="2">
        <v>6</v>
      </c>
      <c r="E93" s="2">
        <v>2269.92</v>
      </c>
      <c r="F93" s="13">
        <v>37929</v>
      </c>
      <c r="G93" s="2" t="s">
        <v>23</v>
      </c>
      <c r="H93" s="2">
        <v>1</v>
      </c>
      <c r="I93" s="2">
        <v>1</v>
      </c>
      <c r="J93" s="2" t="str">
        <f t="shared" si="2"/>
        <v>May</v>
      </c>
      <c r="K93" s="2">
        <v>2005</v>
      </c>
      <c r="L93" s="2" t="s">
        <v>63</v>
      </c>
      <c r="M93" s="2">
        <v>116</v>
      </c>
      <c r="N93" s="2" t="s">
        <v>67</v>
      </c>
      <c r="O93" s="2" t="s">
        <v>49</v>
      </c>
      <c r="P93" s="2" t="s">
        <v>50</v>
      </c>
      <c r="Q93" s="2" t="s">
        <v>51</v>
      </c>
      <c r="R93" s="2" t="s">
        <v>52</v>
      </c>
      <c r="S93" s="2" t="s">
        <v>53</v>
      </c>
      <c r="T93" s="2" t="s">
        <v>45</v>
      </c>
      <c r="U93" s="2" t="s">
        <v>54</v>
      </c>
      <c r="V93" s="2" t="s">
        <v>33</v>
      </c>
      <c r="W93" s="2" t="s">
        <v>34</v>
      </c>
      <c r="X93" s="2" t="s">
        <v>55</v>
      </c>
      <c r="Y93" s="2" t="s">
        <v>56</v>
      </c>
      <c r="Z93" s="2" t="s">
        <v>37</v>
      </c>
    </row>
    <row r="94" spans="1:26" x14ac:dyDescent="0.3">
      <c r="A94" s="2">
        <v>10270</v>
      </c>
      <c r="B94" s="2">
        <v>21</v>
      </c>
      <c r="C94" s="2">
        <v>100</v>
      </c>
      <c r="D94" s="2">
        <v>9</v>
      </c>
      <c r="E94" s="2">
        <v>4905.3900000000003</v>
      </c>
      <c r="F94" s="13">
        <v>38187</v>
      </c>
      <c r="G94" s="2" t="s">
        <v>23</v>
      </c>
      <c r="H94" s="2">
        <v>3</v>
      </c>
      <c r="I94" s="2">
        <v>7</v>
      </c>
      <c r="J94" s="2" t="str">
        <f t="shared" si="2"/>
        <v>October</v>
      </c>
      <c r="K94" s="2">
        <v>2004</v>
      </c>
      <c r="L94" s="2" t="s">
        <v>63</v>
      </c>
      <c r="M94" s="2">
        <v>116</v>
      </c>
      <c r="N94" s="2" t="s">
        <v>67</v>
      </c>
      <c r="O94" s="2" t="s">
        <v>40</v>
      </c>
      <c r="P94" s="2" t="s">
        <v>41</v>
      </c>
      <c r="Q94" s="2" t="s">
        <v>42</v>
      </c>
      <c r="R94" s="2" t="s">
        <v>43</v>
      </c>
      <c r="S94" s="2" t="s">
        <v>44</v>
      </c>
      <c r="T94" s="2" t="s">
        <v>45</v>
      </c>
      <c r="U94" s="2" t="s">
        <v>46</v>
      </c>
      <c r="V94" s="2" t="s">
        <v>33</v>
      </c>
      <c r="W94" s="2" t="s">
        <v>34</v>
      </c>
      <c r="X94" s="2" t="s">
        <v>47</v>
      </c>
      <c r="Y94" s="2" t="s">
        <v>48</v>
      </c>
      <c r="Z94" s="2" t="s">
        <v>37</v>
      </c>
    </row>
    <row r="95" spans="1:26" x14ac:dyDescent="0.3">
      <c r="A95" s="2">
        <v>10270</v>
      </c>
      <c r="B95" s="2">
        <v>43</v>
      </c>
      <c r="C95" s="2">
        <v>96.84</v>
      </c>
      <c r="D95" s="2">
        <v>8</v>
      </c>
      <c r="E95" s="2">
        <v>4164.12</v>
      </c>
      <c r="F95" s="13">
        <v>38187</v>
      </c>
      <c r="G95" s="2" t="s">
        <v>23</v>
      </c>
      <c r="H95" s="2">
        <v>3</v>
      </c>
      <c r="I95" s="2">
        <v>7</v>
      </c>
      <c r="J95" s="2" t="str">
        <f t="shared" si="2"/>
        <v>October</v>
      </c>
      <c r="K95" s="2">
        <v>2004</v>
      </c>
      <c r="L95" s="2" t="s">
        <v>63</v>
      </c>
      <c r="M95" s="2">
        <v>121</v>
      </c>
      <c r="N95" s="2" t="s">
        <v>96</v>
      </c>
      <c r="O95" s="2" t="s">
        <v>40</v>
      </c>
      <c r="P95" s="2" t="s">
        <v>41</v>
      </c>
      <c r="Q95" s="2" t="s">
        <v>42</v>
      </c>
      <c r="R95" s="2" t="s">
        <v>43</v>
      </c>
      <c r="S95" s="2" t="s">
        <v>44</v>
      </c>
      <c r="T95" s="2" t="s">
        <v>45</v>
      </c>
      <c r="U95" s="2" t="s">
        <v>46</v>
      </c>
      <c r="V95" s="2" t="s">
        <v>33</v>
      </c>
      <c r="W95" s="2" t="s">
        <v>34</v>
      </c>
      <c r="X95" s="2" t="s">
        <v>47</v>
      </c>
      <c r="Y95" s="2" t="s">
        <v>48</v>
      </c>
      <c r="Z95" s="2" t="s">
        <v>37</v>
      </c>
    </row>
    <row r="96" spans="1:26" x14ac:dyDescent="0.3">
      <c r="A96" s="2">
        <v>10342</v>
      </c>
      <c r="B96" s="2">
        <v>30</v>
      </c>
      <c r="C96" s="2">
        <v>100</v>
      </c>
      <c r="D96" s="2">
        <v>4</v>
      </c>
      <c r="E96" s="2">
        <v>5029.5</v>
      </c>
      <c r="F96" s="13">
        <v>38315</v>
      </c>
      <c r="G96" s="2" t="s">
        <v>23</v>
      </c>
      <c r="H96" s="2">
        <v>4</v>
      </c>
      <c r="I96" s="2">
        <v>11</v>
      </c>
      <c r="J96" s="2" t="str">
        <f t="shared" si="2"/>
        <v>October</v>
      </c>
      <c r="K96" s="2">
        <v>2004</v>
      </c>
      <c r="L96" s="2" t="s">
        <v>63</v>
      </c>
      <c r="M96" s="2">
        <v>121</v>
      </c>
      <c r="N96" s="2" t="s">
        <v>96</v>
      </c>
      <c r="O96" s="2" t="s">
        <v>26</v>
      </c>
      <c r="P96" s="2" t="s">
        <v>27</v>
      </c>
      <c r="Q96" s="2" t="s">
        <v>28</v>
      </c>
      <c r="R96" s="2" t="s">
        <v>29</v>
      </c>
      <c r="S96" s="2" t="s">
        <v>30</v>
      </c>
      <c r="T96" s="2" t="s">
        <v>31</v>
      </c>
      <c r="U96" s="2" t="s">
        <v>32</v>
      </c>
      <c r="V96" s="2" t="s">
        <v>33</v>
      </c>
      <c r="W96" s="2" t="s">
        <v>34</v>
      </c>
      <c r="X96" s="2" t="s">
        <v>35</v>
      </c>
      <c r="Y96" s="2" t="s">
        <v>36</v>
      </c>
      <c r="Z96" s="2" t="s">
        <v>37</v>
      </c>
    </row>
    <row r="97" spans="1:26" x14ac:dyDescent="0.3">
      <c r="A97" s="2">
        <v>10347</v>
      </c>
      <c r="B97" s="2">
        <v>50</v>
      </c>
      <c r="C97" s="2">
        <v>100</v>
      </c>
      <c r="D97" s="2">
        <v>8</v>
      </c>
      <c r="E97" s="2">
        <v>6834.5</v>
      </c>
      <c r="F97" s="13">
        <v>38320</v>
      </c>
      <c r="G97" s="2" t="s">
        <v>23</v>
      </c>
      <c r="H97" s="2">
        <v>4</v>
      </c>
      <c r="I97" s="2">
        <v>11</v>
      </c>
      <c r="J97" s="2" t="str">
        <f t="shared" si="2"/>
        <v>March</v>
      </c>
      <c r="K97" s="2">
        <v>2004</v>
      </c>
      <c r="L97" s="2" t="s">
        <v>63</v>
      </c>
      <c r="M97" s="2">
        <v>60</v>
      </c>
      <c r="N97" s="2" t="s">
        <v>80</v>
      </c>
      <c r="O97" s="2" t="s">
        <v>26</v>
      </c>
      <c r="P97" s="2" t="s">
        <v>27</v>
      </c>
      <c r="Q97" s="2" t="s">
        <v>28</v>
      </c>
      <c r="R97" s="2" t="s">
        <v>29</v>
      </c>
      <c r="S97" s="2" t="s">
        <v>30</v>
      </c>
      <c r="T97" s="2" t="s">
        <v>31</v>
      </c>
      <c r="U97" s="2" t="s">
        <v>32</v>
      </c>
      <c r="V97" s="2" t="s">
        <v>33</v>
      </c>
      <c r="W97" s="2" t="s">
        <v>34</v>
      </c>
      <c r="X97" s="2" t="s">
        <v>35</v>
      </c>
      <c r="Y97" s="2" t="s">
        <v>36</v>
      </c>
      <c r="Z97" s="2" t="s">
        <v>37</v>
      </c>
    </row>
    <row r="98" spans="1:26" x14ac:dyDescent="0.3">
      <c r="A98" s="2">
        <v>10370</v>
      </c>
      <c r="B98" s="2">
        <v>25</v>
      </c>
      <c r="C98" s="2">
        <v>100</v>
      </c>
      <c r="D98" s="2">
        <v>3</v>
      </c>
      <c r="E98" s="2">
        <v>3160.25</v>
      </c>
      <c r="F98" s="13">
        <v>38372</v>
      </c>
      <c r="G98" s="2" t="s">
        <v>23</v>
      </c>
      <c r="H98" s="2">
        <v>1</v>
      </c>
      <c r="I98" s="2">
        <v>1</v>
      </c>
      <c r="J98" s="2" t="str">
        <f t="shared" ref="J98:J129" si="3">TEXT(DATE(2000,A98,1),"mmmm")</f>
        <v>February</v>
      </c>
      <c r="K98" s="2">
        <v>2005</v>
      </c>
      <c r="L98" s="2" t="s">
        <v>63</v>
      </c>
      <c r="M98" s="2">
        <v>64</v>
      </c>
      <c r="N98" s="2" t="s">
        <v>124</v>
      </c>
      <c r="O98" s="2" t="s">
        <v>49</v>
      </c>
      <c r="P98" s="2" t="s">
        <v>50</v>
      </c>
      <c r="Q98" s="2" t="s">
        <v>51</v>
      </c>
      <c r="R98" s="2" t="s">
        <v>52</v>
      </c>
      <c r="S98" s="2" t="s">
        <v>53</v>
      </c>
      <c r="T98" s="2" t="s">
        <v>45</v>
      </c>
      <c r="U98" s="2" t="s">
        <v>54</v>
      </c>
      <c r="V98" s="2" t="s">
        <v>33</v>
      </c>
      <c r="W98" s="2" t="s">
        <v>34</v>
      </c>
      <c r="X98" s="2" t="s">
        <v>55</v>
      </c>
      <c r="Y98" s="2" t="s">
        <v>56</v>
      </c>
      <c r="Z98" s="2" t="s">
        <v>37</v>
      </c>
    </row>
    <row r="99" spans="1:26" x14ac:dyDescent="0.3">
      <c r="A99" s="2">
        <v>10370</v>
      </c>
      <c r="B99" s="2">
        <v>27</v>
      </c>
      <c r="C99" s="2">
        <v>56.85</v>
      </c>
      <c r="D99" s="2">
        <v>9</v>
      </c>
      <c r="E99" s="2">
        <v>1534.95</v>
      </c>
      <c r="F99" s="13">
        <v>38372</v>
      </c>
      <c r="G99" s="2" t="s">
        <v>23</v>
      </c>
      <c r="H99" s="2">
        <v>1</v>
      </c>
      <c r="I99" s="2">
        <v>1</v>
      </c>
      <c r="J99" s="2" t="str">
        <f t="shared" si="3"/>
        <v>February</v>
      </c>
      <c r="K99" s="2">
        <v>2005</v>
      </c>
      <c r="L99" s="2" t="s">
        <v>63</v>
      </c>
      <c r="M99" s="2">
        <v>122</v>
      </c>
      <c r="N99" s="2" t="s">
        <v>78</v>
      </c>
      <c r="O99" s="2" t="s">
        <v>49</v>
      </c>
      <c r="P99" s="2" t="s">
        <v>50</v>
      </c>
      <c r="Q99" s="2" t="s">
        <v>51</v>
      </c>
      <c r="R99" s="2" t="s">
        <v>52</v>
      </c>
      <c r="S99" s="2" t="s">
        <v>53</v>
      </c>
      <c r="T99" s="2" t="s">
        <v>45</v>
      </c>
      <c r="U99" s="2" t="s">
        <v>54</v>
      </c>
      <c r="V99" s="2" t="s">
        <v>33</v>
      </c>
      <c r="W99" s="2" t="s">
        <v>34</v>
      </c>
      <c r="X99" s="2" t="s">
        <v>55</v>
      </c>
      <c r="Y99" s="2" t="s">
        <v>56</v>
      </c>
      <c r="Z99" s="2" t="s">
        <v>37</v>
      </c>
    </row>
    <row r="100" spans="1:26" x14ac:dyDescent="0.3">
      <c r="A100" s="2">
        <v>10391</v>
      </c>
      <c r="B100" s="2">
        <v>29</v>
      </c>
      <c r="C100" s="2">
        <v>85.1</v>
      </c>
      <c r="D100" s="2">
        <v>10</v>
      </c>
      <c r="E100" s="2">
        <v>2467.9</v>
      </c>
      <c r="F100" s="13">
        <v>38420</v>
      </c>
      <c r="G100" s="2" t="s">
        <v>23</v>
      </c>
      <c r="H100" s="2">
        <v>4</v>
      </c>
      <c r="I100" s="2">
        <v>11</v>
      </c>
      <c r="J100" s="2" t="str">
        <f t="shared" si="3"/>
        <v>November</v>
      </c>
      <c r="K100" s="2">
        <v>2004</v>
      </c>
      <c r="L100" s="2" t="s">
        <v>63</v>
      </c>
      <c r="M100" s="2">
        <v>136</v>
      </c>
      <c r="N100" s="2" t="s">
        <v>64</v>
      </c>
      <c r="O100" s="2" t="s">
        <v>26</v>
      </c>
      <c r="P100" s="2" t="s">
        <v>27</v>
      </c>
      <c r="Q100" s="2" t="s">
        <v>28</v>
      </c>
      <c r="R100" s="2" t="s">
        <v>29</v>
      </c>
      <c r="S100" s="2" t="s">
        <v>30</v>
      </c>
      <c r="T100" s="2" t="s">
        <v>31</v>
      </c>
      <c r="U100" s="2" t="s">
        <v>32</v>
      </c>
      <c r="V100" s="2" t="s">
        <v>33</v>
      </c>
      <c r="W100" s="2" t="s">
        <v>34</v>
      </c>
      <c r="X100" s="2" t="s">
        <v>35</v>
      </c>
      <c r="Y100" s="2" t="s">
        <v>36</v>
      </c>
      <c r="Z100" s="2" t="s">
        <v>37</v>
      </c>
    </row>
    <row r="101" spans="1:26" x14ac:dyDescent="0.3">
      <c r="A101" s="2">
        <v>10148</v>
      </c>
      <c r="B101" s="2">
        <v>21</v>
      </c>
      <c r="C101" s="2">
        <v>73.599999999999994</v>
      </c>
      <c r="D101" s="2">
        <v>4</v>
      </c>
      <c r="E101" s="2">
        <v>1545.6</v>
      </c>
      <c r="F101" s="13">
        <v>37875</v>
      </c>
      <c r="G101" s="2" t="s">
        <v>23</v>
      </c>
      <c r="H101" s="2">
        <v>1</v>
      </c>
      <c r="I101" s="2">
        <v>1</v>
      </c>
      <c r="J101" s="2" t="str">
        <f t="shared" si="3"/>
        <v>August</v>
      </c>
      <c r="K101" s="2">
        <v>2005</v>
      </c>
      <c r="L101" s="2" t="s">
        <v>63</v>
      </c>
      <c r="M101" s="2">
        <v>60</v>
      </c>
      <c r="N101" s="2" t="s">
        <v>80</v>
      </c>
      <c r="O101" s="2" t="s">
        <v>49</v>
      </c>
      <c r="P101" s="2" t="s">
        <v>50</v>
      </c>
      <c r="Q101" s="2" t="s">
        <v>51</v>
      </c>
      <c r="R101" s="2" t="s">
        <v>52</v>
      </c>
      <c r="S101" s="2" t="s">
        <v>53</v>
      </c>
      <c r="T101" s="2" t="s">
        <v>45</v>
      </c>
      <c r="U101" s="2" t="s">
        <v>54</v>
      </c>
      <c r="V101" s="2" t="s">
        <v>33</v>
      </c>
      <c r="W101" s="2" t="s">
        <v>34</v>
      </c>
      <c r="X101" s="2" t="s">
        <v>55</v>
      </c>
      <c r="Y101" s="2" t="s">
        <v>56</v>
      </c>
      <c r="Z101" s="2" t="s">
        <v>57</v>
      </c>
    </row>
    <row r="102" spans="1:26" x14ac:dyDescent="0.3">
      <c r="A102" s="2">
        <v>10148</v>
      </c>
      <c r="B102" s="2">
        <v>34</v>
      </c>
      <c r="C102" s="2">
        <v>100</v>
      </c>
      <c r="D102" s="2">
        <v>3</v>
      </c>
      <c r="E102" s="2">
        <v>4392.12</v>
      </c>
      <c r="F102" s="13">
        <v>37875</v>
      </c>
      <c r="G102" s="2" t="s">
        <v>23</v>
      </c>
      <c r="H102" s="2">
        <v>1</v>
      </c>
      <c r="I102" s="2">
        <v>3</v>
      </c>
      <c r="J102" s="2" t="str">
        <f t="shared" si="3"/>
        <v>August</v>
      </c>
      <c r="K102" s="2">
        <v>2005</v>
      </c>
      <c r="L102" s="2" t="s">
        <v>63</v>
      </c>
      <c r="M102" s="2">
        <v>136</v>
      </c>
      <c r="N102" s="2" t="s">
        <v>64</v>
      </c>
      <c r="O102" s="2" t="s">
        <v>49</v>
      </c>
      <c r="P102" s="2" t="s">
        <v>50</v>
      </c>
      <c r="Q102" s="2" t="s">
        <v>51</v>
      </c>
      <c r="R102" s="2" t="s">
        <v>52</v>
      </c>
      <c r="S102" s="2" t="s">
        <v>53</v>
      </c>
      <c r="T102" s="2" t="s">
        <v>45</v>
      </c>
      <c r="U102" s="2" t="s">
        <v>54</v>
      </c>
      <c r="V102" s="2" t="s">
        <v>33</v>
      </c>
      <c r="W102" s="2" t="s">
        <v>34</v>
      </c>
      <c r="X102" s="2" t="s">
        <v>55</v>
      </c>
      <c r="Y102" s="2" t="s">
        <v>56</v>
      </c>
      <c r="Z102" s="2" t="s">
        <v>57</v>
      </c>
    </row>
    <row r="103" spans="1:26" x14ac:dyDescent="0.3">
      <c r="A103" s="2">
        <v>10169</v>
      </c>
      <c r="B103" s="2">
        <v>38</v>
      </c>
      <c r="C103" s="2">
        <v>68.39</v>
      </c>
      <c r="D103" s="2">
        <v>8</v>
      </c>
      <c r="E103" s="2">
        <v>2598.8200000000002</v>
      </c>
      <c r="F103" s="13">
        <v>37929</v>
      </c>
      <c r="G103" s="2" t="s">
        <v>23</v>
      </c>
      <c r="H103" s="2">
        <v>1</v>
      </c>
      <c r="I103" s="2">
        <v>1</v>
      </c>
      <c r="J103" s="2" t="str">
        <f t="shared" si="3"/>
        <v>May</v>
      </c>
      <c r="K103" s="2">
        <v>2005</v>
      </c>
      <c r="L103" s="2" t="s">
        <v>63</v>
      </c>
      <c r="M103" s="2">
        <v>121</v>
      </c>
      <c r="N103" s="2" t="s">
        <v>96</v>
      </c>
      <c r="O103" s="2" t="s">
        <v>49</v>
      </c>
      <c r="P103" s="2" t="s">
        <v>50</v>
      </c>
      <c r="Q103" s="2" t="s">
        <v>51</v>
      </c>
      <c r="R103" s="2" t="s">
        <v>52</v>
      </c>
      <c r="S103" s="2" t="s">
        <v>53</v>
      </c>
      <c r="T103" s="2" t="s">
        <v>45</v>
      </c>
      <c r="U103" s="2" t="s">
        <v>54</v>
      </c>
      <c r="V103" s="2" t="s">
        <v>33</v>
      </c>
      <c r="W103" s="2" t="s">
        <v>34</v>
      </c>
      <c r="X103" s="2" t="s">
        <v>55</v>
      </c>
      <c r="Y103" s="2" t="s">
        <v>56</v>
      </c>
      <c r="Z103" s="2" t="s">
        <v>57</v>
      </c>
    </row>
    <row r="104" spans="1:26" x14ac:dyDescent="0.3">
      <c r="A104" s="2">
        <v>10270</v>
      </c>
      <c r="B104" s="2">
        <v>21</v>
      </c>
      <c r="C104" s="2">
        <v>63.35</v>
      </c>
      <c r="D104" s="2">
        <v>5</v>
      </c>
      <c r="E104" s="2">
        <v>1330.35</v>
      </c>
      <c r="F104" s="13">
        <v>38187</v>
      </c>
      <c r="G104" s="2" t="s">
        <v>23</v>
      </c>
      <c r="H104" s="2">
        <v>3</v>
      </c>
      <c r="I104" s="2">
        <v>7</v>
      </c>
      <c r="J104" s="2" t="str">
        <f t="shared" si="3"/>
        <v>October</v>
      </c>
      <c r="K104" s="2">
        <v>2004</v>
      </c>
      <c r="L104" s="2" t="s">
        <v>63</v>
      </c>
      <c r="M104" s="2">
        <v>64</v>
      </c>
      <c r="N104" s="2" t="s">
        <v>124</v>
      </c>
      <c r="O104" s="2" t="s">
        <v>40</v>
      </c>
      <c r="P104" s="2" t="s">
        <v>41</v>
      </c>
      <c r="Q104" s="2" t="s">
        <v>42</v>
      </c>
      <c r="R104" s="2" t="s">
        <v>43</v>
      </c>
      <c r="S104" s="2" t="s">
        <v>44</v>
      </c>
      <c r="T104" s="2" t="s">
        <v>45</v>
      </c>
      <c r="U104" s="2" t="s">
        <v>46</v>
      </c>
      <c r="V104" s="2" t="s">
        <v>33</v>
      </c>
      <c r="W104" s="2" t="s">
        <v>34</v>
      </c>
      <c r="X104" s="2" t="s">
        <v>47</v>
      </c>
      <c r="Y104" s="2" t="s">
        <v>48</v>
      </c>
      <c r="Z104" s="2" t="s">
        <v>57</v>
      </c>
    </row>
    <row r="105" spans="1:26" x14ac:dyDescent="0.3">
      <c r="A105" s="2">
        <v>10270</v>
      </c>
      <c r="B105" s="2">
        <v>32</v>
      </c>
      <c r="C105" s="2">
        <v>85.72</v>
      </c>
      <c r="D105" s="2">
        <v>1</v>
      </c>
      <c r="E105" s="2">
        <v>2743.04</v>
      </c>
      <c r="F105" s="13">
        <v>38187</v>
      </c>
      <c r="G105" s="2" t="s">
        <v>23</v>
      </c>
      <c r="H105" s="2">
        <v>3</v>
      </c>
      <c r="I105" s="2">
        <v>7</v>
      </c>
      <c r="J105" s="2" t="str">
        <f t="shared" si="3"/>
        <v>October</v>
      </c>
      <c r="K105" s="2">
        <v>2004</v>
      </c>
      <c r="L105" s="2" t="s">
        <v>63</v>
      </c>
      <c r="M105" s="2">
        <v>96</v>
      </c>
      <c r="N105" s="2" t="s">
        <v>121</v>
      </c>
      <c r="O105" s="2" t="s">
        <v>40</v>
      </c>
      <c r="P105" s="2" t="s">
        <v>41</v>
      </c>
      <c r="Q105" s="2" t="s">
        <v>42</v>
      </c>
      <c r="R105" s="2" t="s">
        <v>43</v>
      </c>
      <c r="S105" s="2" t="s">
        <v>44</v>
      </c>
      <c r="T105" s="2" t="s">
        <v>45</v>
      </c>
      <c r="U105" s="2" t="s">
        <v>46</v>
      </c>
      <c r="V105" s="2" t="s">
        <v>33</v>
      </c>
      <c r="W105" s="2" t="s">
        <v>34</v>
      </c>
      <c r="X105" s="2" t="s">
        <v>47</v>
      </c>
      <c r="Y105" s="2" t="s">
        <v>48</v>
      </c>
      <c r="Z105" s="2" t="s">
        <v>57</v>
      </c>
    </row>
    <row r="106" spans="1:26" x14ac:dyDescent="0.3">
      <c r="A106" s="2">
        <v>10270</v>
      </c>
      <c r="B106" s="2">
        <v>38</v>
      </c>
      <c r="C106" s="2">
        <v>100</v>
      </c>
      <c r="D106" s="2">
        <v>11</v>
      </c>
      <c r="E106" s="2">
        <v>4775.08</v>
      </c>
      <c r="F106" s="13">
        <v>38187</v>
      </c>
      <c r="G106" s="2" t="s">
        <v>23</v>
      </c>
      <c r="H106" s="2">
        <v>4</v>
      </c>
      <c r="I106" s="2">
        <v>11</v>
      </c>
      <c r="J106" s="2" t="str">
        <f t="shared" si="3"/>
        <v>October</v>
      </c>
      <c r="K106" s="2">
        <v>2004</v>
      </c>
      <c r="L106" s="2" t="s">
        <v>63</v>
      </c>
      <c r="M106" s="2">
        <v>116</v>
      </c>
      <c r="N106" s="2" t="s">
        <v>67</v>
      </c>
      <c r="O106" s="2" t="s">
        <v>26</v>
      </c>
      <c r="P106" s="2" t="s">
        <v>27</v>
      </c>
      <c r="Q106" s="2" t="s">
        <v>28</v>
      </c>
      <c r="R106" s="2" t="s">
        <v>29</v>
      </c>
      <c r="S106" s="2" t="s">
        <v>30</v>
      </c>
      <c r="T106" s="2" t="s">
        <v>31</v>
      </c>
      <c r="U106" s="2" t="s">
        <v>32</v>
      </c>
      <c r="V106" s="2" t="s">
        <v>33</v>
      </c>
      <c r="W106" s="2" t="s">
        <v>34</v>
      </c>
      <c r="X106" s="2" t="s">
        <v>35</v>
      </c>
      <c r="Y106" s="2" t="s">
        <v>36</v>
      </c>
      <c r="Z106" s="2" t="s">
        <v>57</v>
      </c>
    </row>
    <row r="107" spans="1:26" x14ac:dyDescent="0.3">
      <c r="A107" s="2">
        <v>10270</v>
      </c>
      <c r="B107" s="2">
        <v>44</v>
      </c>
      <c r="C107" s="2">
        <v>58.36</v>
      </c>
      <c r="D107" s="2">
        <v>7</v>
      </c>
      <c r="E107" s="2">
        <v>2567.84</v>
      </c>
      <c r="F107" s="13">
        <v>38187</v>
      </c>
      <c r="G107" s="2" t="s">
        <v>23</v>
      </c>
      <c r="H107" s="2">
        <v>1</v>
      </c>
      <c r="I107" s="2">
        <v>3</v>
      </c>
      <c r="J107" s="2" t="str">
        <f t="shared" si="3"/>
        <v>October</v>
      </c>
      <c r="K107" s="2">
        <v>2005</v>
      </c>
      <c r="L107" s="2" t="s">
        <v>63</v>
      </c>
      <c r="M107" s="2">
        <v>116</v>
      </c>
      <c r="N107" s="2" t="s">
        <v>67</v>
      </c>
      <c r="O107" s="2" t="s">
        <v>49</v>
      </c>
      <c r="P107" s="2" t="s">
        <v>50</v>
      </c>
      <c r="Q107" s="2" t="s">
        <v>51</v>
      </c>
      <c r="R107" s="2" t="s">
        <v>52</v>
      </c>
      <c r="S107" s="2" t="s">
        <v>53</v>
      </c>
      <c r="T107" s="2" t="s">
        <v>45</v>
      </c>
      <c r="U107" s="2" t="s">
        <v>54</v>
      </c>
      <c r="V107" s="2" t="s">
        <v>33</v>
      </c>
      <c r="W107" s="2" t="s">
        <v>34</v>
      </c>
      <c r="X107" s="2" t="s">
        <v>55</v>
      </c>
      <c r="Y107" s="2" t="s">
        <v>56</v>
      </c>
      <c r="Z107" s="2" t="s">
        <v>57</v>
      </c>
    </row>
    <row r="108" spans="1:26" x14ac:dyDescent="0.3">
      <c r="A108" s="2">
        <v>10347</v>
      </c>
      <c r="B108" s="2">
        <v>45</v>
      </c>
      <c r="C108" s="2">
        <v>100</v>
      </c>
      <c r="D108" s="2">
        <v>11</v>
      </c>
      <c r="E108" s="2">
        <v>4948.2</v>
      </c>
      <c r="F108" s="13">
        <v>38320</v>
      </c>
      <c r="G108" s="2" t="s">
        <v>23</v>
      </c>
      <c r="H108" s="2">
        <v>1</v>
      </c>
      <c r="I108" s="2">
        <v>3</v>
      </c>
      <c r="J108" s="2" t="str">
        <f t="shared" si="3"/>
        <v>March</v>
      </c>
      <c r="K108" s="2">
        <v>2005</v>
      </c>
      <c r="L108" s="2" t="s">
        <v>63</v>
      </c>
      <c r="M108" s="2">
        <v>60</v>
      </c>
      <c r="N108" s="2" t="s">
        <v>80</v>
      </c>
      <c r="O108" s="2" t="s">
        <v>49</v>
      </c>
      <c r="P108" s="2" t="s">
        <v>50</v>
      </c>
      <c r="Q108" s="2" t="s">
        <v>51</v>
      </c>
      <c r="R108" s="2" t="s">
        <v>52</v>
      </c>
      <c r="S108" s="2" t="s">
        <v>53</v>
      </c>
      <c r="T108" s="2" t="s">
        <v>45</v>
      </c>
      <c r="U108" s="2" t="s">
        <v>54</v>
      </c>
      <c r="V108" s="2" t="s">
        <v>33</v>
      </c>
      <c r="W108" s="2" t="s">
        <v>34</v>
      </c>
      <c r="X108" s="2" t="s">
        <v>55</v>
      </c>
      <c r="Y108" s="2" t="s">
        <v>56</v>
      </c>
      <c r="Z108" s="2" t="s">
        <v>57</v>
      </c>
    </row>
    <row r="109" spans="1:26" x14ac:dyDescent="0.3">
      <c r="A109" s="2">
        <v>10139</v>
      </c>
      <c r="B109" s="2">
        <v>31</v>
      </c>
      <c r="C109" s="2">
        <v>100</v>
      </c>
      <c r="D109" s="2">
        <v>7</v>
      </c>
      <c r="E109" s="2">
        <v>3184.94</v>
      </c>
      <c r="F109" s="13">
        <v>37818</v>
      </c>
      <c r="G109" s="2" t="s">
        <v>23</v>
      </c>
      <c r="H109" s="2">
        <v>1</v>
      </c>
      <c r="I109" s="2">
        <v>3</v>
      </c>
      <c r="J109" s="2" t="str">
        <f t="shared" si="3"/>
        <v>November</v>
      </c>
      <c r="K109" s="2">
        <v>2005</v>
      </c>
      <c r="L109" s="2" t="s">
        <v>69</v>
      </c>
      <c r="M109" s="2">
        <v>33</v>
      </c>
      <c r="N109" s="2" t="s">
        <v>104</v>
      </c>
      <c r="O109" s="2" t="s">
        <v>49</v>
      </c>
      <c r="P109" s="2" t="s">
        <v>50</v>
      </c>
      <c r="Q109" s="2" t="s">
        <v>51</v>
      </c>
      <c r="R109" s="2" t="s">
        <v>52</v>
      </c>
      <c r="S109" s="2" t="s">
        <v>53</v>
      </c>
      <c r="T109" s="2" t="s">
        <v>45</v>
      </c>
      <c r="U109" s="2" t="s">
        <v>54</v>
      </c>
      <c r="V109" s="2" t="s">
        <v>33</v>
      </c>
      <c r="W109" s="2" t="s">
        <v>34</v>
      </c>
      <c r="X109" s="2" t="s">
        <v>55</v>
      </c>
      <c r="Y109" s="2" t="s">
        <v>56</v>
      </c>
      <c r="Z109" s="2" t="s">
        <v>60</v>
      </c>
    </row>
    <row r="110" spans="1:26" x14ac:dyDescent="0.3">
      <c r="A110" s="2">
        <v>10223</v>
      </c>
      <c r="B110" s="2">
        <v>47</v>
      </c>
      <c r="C110" s="2">
        <v>100</v>
      </c>
      <c r="D110" s="2">
        <v>9</v>
      </c>
      <c r="E110" s="2">
        <v>4724.91</v>
      </c>
      <c r="F110" s="13">
        <v>38037</v>
      </c>
      <c r="G110" s="2" t="s">
        <v>23</v>
      </c>
      <c r="H110" s="2">
        <v>3</v>
      </c>
      <c r="I110" s="2">
        <v>7</v>
      </c>
      <c r="J110" s="2" t="str">
        <f t="shared" si="3"/>
        <v>November</v>
      </c>
      <c r="K110" s="2">
        <v>2003</v>
      </c>
      <c r="L110" s="2" t="s">
        <v>69</v>
      </c>
      <c r="M110" s="2">
        <v>168</v>
      </c>
      <c r="N110" s="2" t="s">
        <v>84</v>
      </c>
      <c r="O110" s="2" t="s">
        <v>40</v>
      </c>
      <c r="P110" s="2" t="s">
        <v>41</v>
      </c>
      <c r="Q110" s="2" t="s">
        <v>42</v>
      </c>
      <c r="R110" s="2" t="s">
        <v>43</v>
      </c>
      <c r="S110" s="2" t="s">
        <v>44</v>
      </c>
      <c r="T110" s="2" t="s">
        <v>45</v>
      </c>
      <c r="U110" s="2" t="s">
        <v>46</v>
      </c>
      <c r="V110" s="2" t="s">
        <v>33</v>
      </c>
      <c r="W110" s="2" t="s">
        <v>34</v>
      </c>
      <c r="X110" s="2" t="s">
        <v>47</v>
      </c>
      <c r="Y110" s="2" t="s">
        <v>48</v>
      </c>
      <c r="Z110" s="2" t="s">
        <v>60</v>
      </c>
    </row>
    <row r="111" spans="1:26" x14ac:dyDescent="0.3">
      <c r="A111" s="2">
        <v>10120</v>
      </c>
      <c r="B111" s="2">
        <v>34</v>
      </c>
      <c r="C111" s="2">
        <v>83.79</v>
      </c>
      <c r="D111" s="2">
        <v>5</v>
      </c>
      <c r="E111" s="2">
        <v>2848.86</v>
      </c>
      <c r="F111" s="13">
        <v>37740</v>
      </c>
      <c r="G111" s="2" t="s">
        <v>23</v>
      </c>
      <c r="H111" s="2">
        <v>2</v>
      </c>
      <c r="I111" s="2">
        <v>5</v>
      </c>
      <c r="J111" s="2" t="str">
        <f t="shared" si="3"/>
        <v>April</v>
      </c>
      <c r="K111" s="2">
        <v>2003</v>
      </c>
      <c r="L111" s="2" t="s">
        <v>69</v>
      </c>
      <c r="M111" s="2">
        <v>102</v>
      </c>
      <c r="N111" s="2" t="s">
        <v>70</v>
      </c>
      <c r="O111" s="2" t="s">
        <v>26</v>
      </c>
      <c r="P111" s="2" t="s">
        <v>27</v>
      </c>
      <c r="Q111" s="2" t="s">
        <v>28</v>
      </c>
      <c r="R111" s="2" t="s">
        <v>29</v>
      </c>
      <c r="S111" s="2" t="s">
        <v>30</v>
      </c>
      <c r="T111" s="2" t="s">
        <v>31</v>
      </c>
      <c r="U111" s="2" t="s">
        <v>32</v>
      </c>
      <c r="V111" s="2" t="s">
        <v>33</v>
      </c>
      <c r="W111" s="2" t="s">
        <v>34</v>
      </c>
      <c r="X111" s="2" t="s">
        <v>35</v>
      </c>
      <c r="Y111" s="2" t="s">
        <v>36</v>
      </c>
      <c r="Z111" s="2" t="s">
        <v>37</v>
      </c>
    </row>
    <row r="112" spans="1:26" x14ac:dyDescent="0.3">
      <c r="A112" s="2">
        <v>10125</v>
      </c>
      <c r="B112" s="2">
        <v>32</v>
      </c>
      <c r="C112" s="2">
        <v>100</v>
      </c>
      <c r="D112" s="2">
        <v>1</v>
      </c>
      <c r="E112" s="2">
        <v>3254.72</v>
      </c>
      <c r="F112" s="13">
        <v>37762</v>
      </c>
      <c r="G112" s="2" t="s">
        <v>23</v>
      </c>
      <c r="H112" s="2">
        <v>3</v>
      </c>
      <c r="I112" s="2">
        <v>9</v>
      </c>
      <c r="J112" s="2" t="str">
        <f t="shared" si="3"/>
        <v>September</v>
      </c>
      <c r="K112" s="2">
        <v>2003</v>
      </c>
      <c r="L112" s="2" t="s">
        <v>69</v>
      </c>
      <c r="M112" s="2">
        <v>92</v>
      </c>
      <c r="N112" s="2" t="s">
        <v>95</v>
      </c>
      <c r="O112" s="2" t="s">
        <v>49</v>
      </c>
      <c r="P112" s="2" t="s">
        <v>50</v>
      </c>
      <c r="Q112" s="2" t="s">
        <v>51</v>
      </c>
      <c r="R112" s="2" t="s">
        <v>52</v>
      </c>
      <c r="S112" s="2" t="s">
        <v>53</v>
      </c>
      <c r="T112" s="2" t="s">
        <v>45</v>
      </c>
      <c r="U112" s="2" t="s">
        <v>54</v>
      </c>
      <c r="V112" s="2" t="s">
        <v>33</v>
      </c>
      <c r="W112" s="2" t="s">
        <v>34</v>
      </c>
      <c r="X112" s="2" t="s">
        <v>55</v>
      </c>
      <c r="Y112" s="2" t="s">
        <v>56</v>
      </c>
      <c r="Z112" s="2" t="s">
        <v>37</v>
      </c>
    </row>
    <row r="113" spans="1:26" x14ac:dyDescent="0.3">
      <c r="A113" s="2">
        <v>10139</v>
      </c>
      <c r="B113" s="2">
        <v>29</v>
      </c>
      <c r="C113" s="2">
        <v>100</v>
      </c>
      <c r="D113" s="2">
        <v>4</v>
      </c>
      <c r="E113" s="2">
        <v>3276.13</v>
      </c>
      <c r="F113" s="13">
        <v>37818</v>
      </c>
      <c r="G113" s="2" t="s">
        <v>23</v>
      </c>
      <c r="H113" s="2">
        <v>3</v>
      </c>
      <c r="I113" s="2">
        <v>7</v>
      </c>
      <c r="J113" s="2" t="str">
        <f t="shared" si="3"/>
        <v>November</v>
      </c>
      <c r="K113" s="2">
        <v>2003</v>
      </c>
      <c r="L113" s="2" t="s">
        <v>69</v>
      </c>
      <c r="M113" s="2">
        <v>97</v>
      </c>
      <c r="N113" s="2" t="s">
        <v>118</v>
      </c>
      <c r="O113" s="2" t="s">
        <v>40</v>
      </c>
      <c r="P113" s="2" t="s">
        <v>41</v>
      </c>
      <c r="Q113" s="2" t="s">
        <v>42</v>
      </c>
      <c r="R113" s="2" t="s">
        <v>43</v>
      </c>
      <c r="S113" s="2" t="s">
        <v>44</v>
      </c>
      <c r="T113" s="2" t="s">
        <v>45</v>
      </c>
      <c r="U113" s="2" t="s">
        <v>46</v>
      </c>
      <c r="V113" s="2" t="s">
        <v>33</v>
      </c>
      <c r="W113" s="2" t="s">
        <v>34</v>
      </c>
      <c r="X113" s="2" t="s">
        <v>47</v>
      </c>
      <c r="Y113" s="2" t="s">
        <v>48</v>
      </c>
      <c r="Z113" s="2" t="s">
        <v>37</v>
      </c>
    </row>
    <row r="114" spans="1:26" x14ac:dyDescent="0.3">
      <c r="A114" s="2">
        <v>10148</v>
      </c>
      <c r="B114" s="2">
        <v>23</v>
      </c>
      <c r="C114" s="2">
        <v>100</v>
      </c>
      <c r="D114" s="2">
        <v>13</v>
      </c>
      <c r="E114" s="2">
        <v>2702.04</v>
      </c>
      <c r="F114" s="13">
        <v>37875</v>
      </c>
      <c r="G114" s="2" t="s">
        <v>23</v>
      </c>
      <c r="H114" s="2">
        <v>3</v>
      </c>
      <c r="I114" s="2">
        <v>7</v>
      </c>
      <c r="J114" s="2" t="str">
        <f t="shared" si="3"/>
        <v>August</v>
      </c>
      <c r="K114" s="2">
        <v>2003</v>
      </c>
      <c r="L114" s="2" t="s">
        <v>69</v>
      </c>
      <c r="M114" s="2">
        <v>99</v>
      </c>
      <c r="N114" s="2" t="s">
        <v>91</v>
      </c>
      <c r="O114" s="2" t="s">
        <v>40</v>
      </c>
      <c r="P114" s="2" t="s">
        <v>41</v>
      </c>
      <c r="Q114" s="2" t="s">
        <v>42</v>
      </c>
      <c r="R114" s="2" t="s">
        <v>43</v>
      </c>
      <c r="S114" s="2" t="s">
        <v>44</v>
      </c>
      <c r="T114" s="2" t="s">
        <v>45</v>
      </c>
      <c r="U114" s="2" t="s">
        <v>46</v>
      </c>
      <c r="V114" s="2" t="s">
        <v>33</v>
      </c>
      <c r="W114" s="2" t="s">
        <v>34</v>
      </c>
      <c r="X114" s="2" t="s">
        <v>47</v>
      </c>
      <c r="Y114" s="2" t="s">
        <v>48</v>
      </c>
      <c r="Z114" s="2" t="s">
        <v>37</v>
      </c>
    </row>
    <row r="115" spans="1:26" x14ac:dyDescent="0.3">
      <c r="A115" s="2">
        <v>10148</v>
      </c>
      <c r="B115" s="2">
        <v>27</v>
      </c>
      <c r="C115" s="2">
        <v>100</v>
      </c>
      <c r="D115" s="2">
        <v>7</v>
      </c>
      <c r="E115" s="2">
        <v>3469.5</v>
      </c>
      <c r="F115" s="13">
        <v>37875</v>
      </c>
      <c r="G115" s="2" t="s">
        <v>23</v>
      </c>
      <c r="H115" s="2">
        <v>4</v>
      </c>
      <c r="I115" s="2">
        <v>12</v>
      </c>
      <c r="J115" s="2" t="str">
        <f t="shared" si="3"/>
        <v>August</v>
      </c>
      <c r="K115" s="2">
        <v>2004</v>
      </c>
      <c r="L115" s="2" t="s">
        <v>69</v>
      </c>
      <c r="M115" s="2">
        <v>65</v>
      </c>
      <c r="N115" s="2" t="s">
        <v>113</v>
      </c>
      <c r="O115" s="2" t="s">
        <v>40</v>
      </c>
      <c r="P115" s="2" t="s">
        <v>41</v>
      </c>
      <c r="Q115" s="2" t="s">
        <v>42</v>
      </c>
      <c r="R115" s="2" t="s">
        <v>43</v>
      </c>
      <c r="S115" s="2" t="s">
        <v>44</v>
      </c>
      <c r="T115" s="2" t="s">
        <v>45</v>
      </c>
      <c r="U115" s="2" t="s">
        <v>46</v>
      </c>
      <c r="V115" s="2" t="s">
        <v>33</v>
      </c>
      <c r="W115" s="2" t="s">
        <v>34</v>
      </c>
      <c r="X115" s="2" t="s">
        <v>47</v>
      </c>
      <c r="Y115" s="2" t="s">
        <v>48</v>
      </c>
      <c r="Z115" s="2" t="s">
        <v>37</v>
      </c>
    </row>
    <row r="116" spans="1:26" x14ac:dyDescent="0.3">
      <c r="A116" s="2">
        <v>10148</v>
      </c>
      <c r="B116" s="2">
        <v>32</v>
      </c>
      <c r="C116" s="2">
        <v>100</v>
      </c>
      <c r="D116" s="2">
        <v>14</v>
      </c>
      <c r="E116" s="2">
        <v>5418.88</v>
      </c>
      <c r="F116" s="13">
        <v>37875</v>
      </c>
      <c r="G116" s="2" t="s">
        <v>23</v>
      </c>
      <c r="H116" s="2">
        <v>3</v>
      </c>
      <c r="I116" s="2">
        <v>7</v>
      </c>
      <c r="J116" s="2" t="str">
        <f t="shared" si="3"/>
        <v>August</v>
      </c>
      <c r="K116" s="2">
        <v>2003</v>
      </c>
      <c r="L116" s="2" t="s">
        <v>69</v>
      </c>
      <c r="M116" s="2">
        <v>101</v>
      </c>
      <c r="N116" s="2" t="s">
        <v>86</v>
      </c>
      <c r="O116" s="2" t="s">
        <v>40</v>
      </c>
      <c r="P116" s="2" t="s">
        <v>41</v>
      </c>
      <c r="Q116" s="2" t="s">
        <v>42</v>
      </c>
      <c r="R116" s="2" t="s">
        <v>43</v>
      </c>
      <c r="S116" s="2" t="s">
        <v>44</v>
      </c>
      <c r="T116" s="2" t="s">
        <v>45</v>
      </c>
      <c r="U116" s="2" t="s">
        <v>46</v>
      </c>
      <c r="V116" s="2" t="s">
        <v>33</v>
      </c>
      <c r="W116" s="2" t="s">
        <v>34</v>
      </c>
      <c r="X116" s="2" t="s">
        <v>47</v>
      </c>
      <c r="Y116" s="2" t="s">
        <v>48</v>
      </c>
      <c r="Z116" s="2" t="s">
        <v>37</v>
      </c>
    </row>
    <row r="117" spans="1:26" x14ac:dyDescent="0.3">
      <c r="A117" s="2">
        <v>10148</v>
      </c>
      <c r="B117" s="2">
        <v>34</v>
      </c>
      <c r="C117" s="2">
        <v>100</v>
      </c>
      <c r="D117" s="2">
        <v>1</v>
      </c>
      <c r="E117" s="2">
        <v>3598.22</v>
      </c>
      <c r="F117" s="13">
        <v>37875</v>
      </c>
      <c r="G117" s="2" t="s">
        <v>23</v>
      </c>
      <c r="H117" s="2">
        <v>1</v>
      </c>
      <c r="I117" s="2">
        <v>3</v>
      </c>
      <c r="J117" s="2" t="str">
        <f t="shared" si="3"/>
        <v>August</v>
      </c>
      <c r="K117" s="2">
        <v>2005</v>
      </c>
      <c r="L117" s="2" t="s">
        <v>69</v>
      </c>
      <c r="M117" s="2">
        <v>102</v>
      </c>
      <c r="N117" s="2" t="s">
        <v>70</v>
      </c>
      <c r="O117" s="2" t="s">
        <v>49</v>
      </c>
      <c r="P117" s="2" t="s">
        <v>50</v>
      </c>
      <c r="Q117" s="2" t="s">
        <v>51</v>
      </c>
      <c r="R117" s="2" t="s">
        <v>52</v>
      </c>
      <c r="S117" s="2" t="s">
        <v>53</v>
      </c>
      <c r="T117" s="2" t="s">
        <v>45</v>
      </c>
      <c r="U117" s="2" t="s">
        <v>54</v>
      </c>
      <c r="V117" s="2" t="s">
        <v>33</v>
      </c>
      <c r="W117" s="2" t="s">
        <v>34</v>
      </c>
      <c r="X117" s="2" t="s">
        <v>55</v>
      </c>
      <c r="Y117" s="2" t="s">
        <v>56</v>
      </c>
      <c r="Z117" s="2" t="s">
        <v>37</v>
      </c>
    </row>
    <row r="118" spans="1:26" x14ac:dyDescent="0.3">
      <c r="A118" s="2">
        <v>10169</v>
      </c>
      <c r="B118" s="2">
        <v>30</v>
      </c>
      <c r="C118" s="2">
        <v>100</v>
      </c>
      <c r="D118" s="2">
        <v>2</v>
      </c>
      <c r="E118" s="2">
        <v>5019.8999999999996</v>
      </c>
      <c r="F118" s="13">
        <v>37929</v>
      </c>
      <c r="G118" s="2" t="s">
        <v>23</v>
      </c>
      <c r="H118" s="2">
        <v>4</v>
      </c>
      <c r="I118" s="2">
        <v>11</v>
      </c>
      <c r="J118" s="2" t="str">
        <f t="shared" si="3"/>
        <v>May</v>
      </c>
      <c r="K118" s="2">
        <v>2004</v>
      </c>
      <c r="L118" s="2" t="s">
        <v>69</v>
      </c>
      <c r="M118" s="2">
        <v>104</v>
      </c>
      <c r="N118" s="2" t="s">
        <v>88</v>
      </c>
      <c r="O118" s="2" t="s">
        <v>26</v>
      </c>
      <c r="P118" s="2" t="s">
        <v>27</v>
      </c>
      <c r="Q118" s="2" t="s">
        <v>28</v>
      </c>
      <c r="R118" s="2" t="s">
        <v>29</v>
      </c>
      <c r="S118" s="2" t="s">
        <v>30</v>
      </c>
      <c r="T118" s="2" t="s">
        <v>31</v>
      </c>
      <c r="U118" s="2" t="s">
        <v>32</v>
      </c>
      <c r="V118" s="2" t="s">
        <v>33</v>
      </c>
      <c r="W118" s="2" t="s">
        <v>34</v>
      </c>
      <c r="X118" s="2" t="s">
        <v>35</v>
      </c>
      <c r="Y118" s="2" t="s">
        <v>36</v>
      </c>
      <c r="Z118" s="2" t="s">
        <v>37</v>
      </c>
    </row>
    <row r="119" spans="1:26" x14ac:dyDescent="0.3">
      <c r="A119" s="2">
        <v>10223</v>
      </c>
      <c r="B119" s="2">
        <v>37</v>
      </c>
      <c r="C119" s="2">
        <v>100</v>
      </c>
      <c r="D119" s="2">
        <v>1</v>
      </c>
      <c r="E119" s="2">
        <v>3965.66</v>
      </c>
      <c r="F119" s="13">
        <v>38037</v>
      </c>
      <c r="G119" s="2" t="s">
        <v>73</v>
      </c>
      <c r="H119" s="2">
        <v>2</v>
      </c>
      <c r="I119" s="2">
        <v>5</v>
      </c>
      <c r="J119" s="2" t="str">
        <f t="shared" si="3"/>
        <v>November</v>
      </c>
      <c r="K119" s="2">
        <v>2005</v>
      </c>
      <c r="L119" s="2" t="s">
        <v>69</v>
      </c>
      <c r="M119" s="2">
        <v>170</v>
      </c>
      <c r="N119" s="2" t="s">
        <v>74</v>
      </c>
      <c r="O119" s="2" t="s">
        <v>40</v>
      </c>
      <c r="P119" s="2" t="s">
        <v>41</v>
      </c>
      <c r="Q119" s="2" t="s">
        <v>42</v>
      </c>
      <c r="R119" s="2" t="s">
        <v>43</v>
      </c>
      <c r="S119" s="2" t="s">
        <v>44</v>
      </c>
      <c r="T119" s="2" t="s">
        <v>45</v>
      </c>
      <c r="U119" s="2" t="s">
        <v>46</v>
      </c>
      <c r="V119" s="2" t="s">
        <v>33</v>
      </c>
      <c r="W119" s="2" t="s">
        <v>34</v>
      </c>
      <c r="X119" s="2" t="s">
        <v>47</v>
      </c>
      <c r="Y119" s="2" t="s">
        <v>48</v>
      </c>
      <c r="Z119" s="2" t="s">
        <v>37</v>
      </c>
    </row>
    <row r="120" spans="1:26" x14ac:dyDescent="0.3">
      <c r="A120" s="2">
        <v>10223</v>
      </c>
      <c r="B120" s="2">
        <v>49</v>
      </c>
      <c r="C120" s="2">
        <v>100</v>
      </c>
      <c r="D120" s="2">
        <v>3</v>
      </c>
      <c r="E120" s="2">
        <v>9774.0300000000007</v>
      </c>
      <c r="F120" s="13">
        <v>38037</v>
      </c>
      <c r="G120" s="2" t="s">
        <v>73</v>
      </c>
      <c r="H120" s="2">
        <v>2</v>
      </c>
      <c r="I120" s="2">
        <v>5</v>
      </c>
      <c r="J120" s="2" t="str">
        <f t="shared" si="3"/>
        <v>November</v>
      </c>
      <c r="K120" s="2">
        <v>2005</v>
      </c>
      <c r="L120" s="2" t="s">
        <v>69</v>
      </c>
      <c r="M120" s="2">
        <v>92</v>
      </c>
      <c r="N120" s="2" t="s">
        <v>95</v>
      </c>
      <c r="O120" s="2" t="s">
        <v>40</v>
      </c>
      <c r="P120" s="2" t="s">
        <v>41</v>
      </c>
      <c r="Q120" s="2" t="s">
        <v>42</v>
      </c>
      <c r="R120" s="2" t="s">
        <v>43</v>
      </c>
      <c r="S120" s="2" t="s">
        <v>44</v>
      </c>
      <c r="T120" s="2" t="s">
        <v>45</v>
      </c>
      <c r="U120" s="2" t="s">
        <v>46</v>
      </c>
      <c r="V120" s="2" t="s">
        <v>33</v>
      </c>
      <c r="W120" s="2" t="s">
        <v>34</v>
      </c>
      <c r="X120" s="2" t="s">
        <v>47</v>
      </c>
      <c r="Y120" s="2" t="s">
        <v>48</v>
      </c>
      <c r="Z120" s="2" t="s">
        <v>37</v>
      </c>
    </row>
    <row r="121" spans="1:26" x14ac:dyDescent="0.3">
      <c r="A121" s="2">
        <v>10270</v>
      </c>
      <c r="B121" s="2">
        <v>46</v>
      </c>
      <c r="C121" s="2">
        <v>88</v>
      </c>
      <c r="D121" s="2">
        <v>4</v>
      </c>
      <c r="E121" s="2">
        <v>4048</v>
      </c>
      <c r="F121" s="13">
        <v>38187</v>
      </c>
      <c r="G121" s="2" t="s">
        <v>23</v>
      </c>
      <c r="H121" s="2">
        <v>3</v>
      </c>
      <c r="I121" s="2">
        <v>7</v>
      </c>
      <c r="J121" s="2" t="str">
        <f t="shared" si="3"/>
        <v>October</v>
      </c>
      <c r="K121" s="2">
        <v>2004</v>
      </c>
      <c r="L121" s="2" t="s">
        <v>69</v>
      </c>
      <c r="M121" s="2">
        <v>104</v>
      </c>
      <c r="N121" s="2" t="s">
        <v>88</v>
      </c>
      <c r="O121" s="2" t="s">
        <v>40</v>
      </c>
      <c r="P121" s="2" t="s">
        <v>41</v>
      </c>
      <c r="Q121" s="2" t="s">
        <v>42</v>
      </c>
      <c r="R121" s="2" t="s">
        <v>43</v>
      </c>
      <c r="S121" s="2" t="s">
        <v>44</v>
      </c>
      <c r="T121" s="2" t="s">
        <v>45</v>
      </c>
      <c r="U121" s="2" t="s">
        <v>46</v>
      </c>
      <c r="V121" s="2" t="s">
        <v>33</v>
      </c>
      <c r="W121" s="2" t="s">
        <v>34</v>
      </c>
      <c r="X121" s="2" t="s">
        <v>47</v>
      </c>
      <c r="Y121" s="2" t="s">
        <v>48</v>
      </c>
      <c r="Z121" s="2" t="s">
        <v>37</v>
      </c>
    </row>
    <row r="122" spans="1:26" x14ac:dyDescent="0.3">
      <c r="A122" s="2">
        <v>10342</v>
      </c>
      <c r="B122" s="2">
        <v>42</v>
      </c>
      <c r="C122" s="2">
        <v>100</v>
      </c>
      <c r="D122" s="2">
        <v>6</v>
      </c>
      <c r="E122" s="2">
        <v>5013.54</v>
      </c>
      <c r="F122" s="13">
        <v>38315</v>
      </c>
      <c r="G122" s="2" t="s">
        <v>73</v>
      </c>
      <c r="H122" s="2">
        <v>2</v>
      </c>
      <c r="I122" s="2">
        <v>5</v>
      </c>
      <c r="J122" s="2" t="str">
        <f t="shared" si="3"/>
        <v>October</v>
      </c>
      <c r="K122" s="2">
        <v>2005</v>
      </c>
      <c r="L122" s="2" t="s">
        <v>69</v>
      </c>
      <c r="M122" s="2">
        <v>127</v>
      </c>
      <c r="N122" s="2" t="s">
        <v>79</v>
      </c>
      <c r="O122" s="2" t="s">
        <v>40</v>
      </c>
      <c r="P122" s="2" t="s">
        <v>41</v>
      </c>
      <c r="Q122" s="2" t="s">
        <v>42</v>
      </c>
      <c r="R122" s="2" t="s">
        <v>43</v>
      </c>
      <c r="S122" s="2" t="s">
        <v>44</v>
      </c>
      <c r="T122" s="2" t="s">
        <v>45</v>
      </c>
      <c r="U122" s="2" t="s">
        <v>46</v>
      </c>
      <c r="V122" s="2" t="s">
        <v>33</v>
      </c>
      <c r="W122" s="2" t="s">
        <v>34</v>
      </c>
      <c r="X122" s="2" t="s">
        <v>47</v>
      </c>
      <c r="Y122" s="2" t="s">
        <v>48</v>
      </c>
      <c r="Z122" s="2" t="s">
        <v>37</v>
      </c>
    </row>
    <row r="123" spans="1:26" x14ac:dyDescent="0.3">
      <c r="A123" s="2">
        <v>10347</v>
      </c>
      <c r="B123" s="2">
        <v>48</v>
      </c>
      <c r="C123" s="2">
        <v>100</v>
      </c>
      <c r="D123" s="2">
        <v>9</v>
      </c>
      <c r="E123" s="2">
        <v>4814.3999999999996</v>
      </c>
      <c r="F123" s="13">
        <v>38320</v>
      </c>
      <c r="G123" s="2" t="s">
        <v>23</v>
      </c>
      <c r="H123" s="2">
        <v>1</v>
      </c>
      <c r="I123" s="2">
        <v>3</v>
      </c>
      <c r="J123" s="2" t="str">
        <f t="shared" si="3"/>
        <v>March</v>
      </c>
      <c r="K123" s="2">
        <v>2005</v>
      </c>
      <c r="L123" s="2" t="s">
        <v>69</v>
      </c>
      <c r="M123" s="2">
        <v>53</v>
      </c>
      <c r="N123" s="2" t="s">
        <v>71</v>
      </c>
      <c r="O123" s="2" t="s">
        <v>49</v>
      </c>
      <c r="P123" s="2" t="s">
        <v>50</v>
      </c>
      <c r="Q123" s="2" t="s">
        <v>51</v>
      </c>
      <c r="R123" s="2" t="s">
        <v>52</v>
      </c>
      <c r="S123" s="2" t="s">
        <v>53</v>
      </c>
      <c r="T123" s="2" t="s">
        <v>45</v>
      </c>
      <c r="U123" s="2" t="s">
        <v>54</v>
      </c>
      <c r="V123" s="2" t="s">
        <v>33</v>
      </c>
      <c r="W123" s="2" t="s">
        <v>34</v>
      </c>
      <c r="X123" s="2" t="s">
        <v>55</v>
      </c>
      <c r="Y123" s="2" t="s">
        <v>56</v>
      </c>
      <c r="Z123" s="2" t="s">
        <v>37</v>
      </c>
    </row>
    <row r="124" spans="1:26" x14ac:dyDescent="0.3">
      <c r="A124" s="2">
        <v>10361</v>
      </c>
      <c r="B124" s="2">
        <v>49</v>
      </c>
      <c r="C124" s="2">
        <v>72.33</v>
      </c>
      <c r="D124" s="2">
        <v>2</v>
      </c>
      <c r="E124" s="2">
        <v>3544.17</v>
      </c>
      <c r="F124" s="13">
        <v>38338</v>
      </c>
      <c r="G124" s="2" t="s">
        <v>23</v>
      </c>
      <c r="H124" s="2">
        <v>4</v>
      </c>
      <c r="I124" s="2">
        <v>12</v>
      </c>
      <c r="J124" s="2" t="str">
        <f t="shared" si="3"/>
        <v>May</v>
      </c>
      <c r="K124" s="2">
        <v>2004</v>
      </c>
      <c r="L124" s="2" t="s">
        <v>69</v>
      </c>
      <c r="M124" s="2">
        <v>68</v>
      </c>
      <c r="N124" s="2" t="s">
        <v>125</v>
      </c>
      <c r="O124" s="2" t="s">
        <v>40</v>
      </c>
      <c r="P124" s="2" t="s">
        <v>41</v>
      </c>
      <c r="Q124" s="2" t="s">
        <v>42</v>
      </c>
      <c r="R124" s="2" t="s">
        <v>43</v>
      </c>
      <c r="S124" s="2" t="s">
        <v>44</v>
      </c>
      <c r="T124" s="2" t="s">
        <v>45</v>
      </c>
      <c r="U124" s="2" t="s">
        <v>46</v>
      </c>
      <c r="V124" s="2" t="s">
        <v>33</v>
      </c>
      <c r="W124" s="2" t="s">
        <v>34</v>
      </c>
      <c r="X124" s="2" t="s">
        <v>47</v>
      </c>
      <c r="Y124" s="2" t="s">
        <v>48</v>
      </c>
      <c r="Z124" s="2" t="s">
        <v>37</v>
      </c>
    </row>
    <row r="125" spans="1:26" x14ac:dyDescent="0.3">
      <c r="A125" s="2">
        <v>10361</v>
      </c>
      <c r="B125" s="2">
        <v>44</v>
      </c>
      <c r="C125" s="2">
        <v>72.42</v>
      </c>
      <c r="D125" s="2">
        <v>5</v>
      </c>
      <c r="E125" s="2">
        <v>3186.48</v>
      </c>
      <c r="F125" s="13">
        <v>38338</v>
      </c>
      <c r="G125" s="2" t="s">
        <v>23</v>
      </c>
      <c r="H125" s="2">
        <v>2</v>
      </c>
      <c r="I125" s="2">
        <v>5</v>
      </c>
      <c r="J125" s="2" t="str">
        <f t="shared" si="3"/>
        <v>May</v>
      </c>
      <c r="K125" s="2">
        <v>2003</v>
      </c>
      <c r="L125" s="2" t="s">
        <v>69</v>
      </c>
      <c r="M125" s="2">
        <v>168</v>
      </c>
      <c r="N125" s="2" t="s">
        <v>84</v>
      </c>
      <c r="O125" s="2" t="s">
        <v>26</v>
      </c>
      <c r="P125" s="2" t="s">
        <v>27</v>
      </c>
      <c r="Q125" s="2" t="s">
        <v>28</v>
      </c>
      <c r="R125" s="2" t="s">
        <v>29</v>
      </c>
      <c r="S125" s="2" t="s">
        <v>30</v>
      </c>
      <c r="T125" s="2" t="s">
        <v>31</v>
      </c>
      <c r="U125" s="2" t="s">
        <v>32</v>
      </c>
      <c r="V125" s="2" t="s">
        <v>33</v>
      </c>
      <c r="W125" s="2" t="s">
        <v>34</v>
      </c>
      <c r="X125" s="2" t="s">
        <v>35</v>
      </c>
      <c r="Y125" s="2" t="s">
        <v>36</v>
      </c>
      <c r="Z125" s="2" t="s">
        <v>37</v>
      </c>
    </row>
    <row r="126" spans="1:26" x14ac:dyDescent="0.3">
      <c r="A126" s="2">
        <v>10370</v>
      </c>
      <c r="B126" s="2">
        <v>20</v>
      </c>
      <c r="C126" s="2">
        <v>100</v>
      </c>
      <c r="D126" s="2">
        <v>2</v>
      </c>
      <c r="E126" s="2">
        <v>2730</v>
      </c>
      <c r="F126" s="13">
        <v>38372</v>
      </c>
      <c r="G126" s="2" t="s">
        <v>23</v>
      </c>
      <c r="H126" s="2">
        <v>3</v>
      </c>
      <c r="I126" s="2">
        <v>7</v>
      </c>
      <c r="J126" s="2" t="str">
        <f t="shared" si="3"/>
        <v>February</v>
      </c>
      <c r="K126" s="2">
        <v>2003</v>
      </c>
      <c r="L126" s="2" t="s">
        <v>69</v>
      </c>
      <c r="M126" s="2">
        <v>102</v>
      </c>
      <c r="N126" s="2" t="s">
        <v>70</v>
      </c>
      <c r="O126" s="2" t="s">
        <v>40</v>
      </c>
      <c r="P126" s="2" t="s">
        <v>41</v>
      </c>
      <c r="Q126" s="2" t="s">
        <v>42</v>
      </c>
      <c r="R126" s="2" t="s">
        <v>43</v>
      </c>
      <c r="S126" s="2" t="s">
        <v>44</v>
      </c>
      <c r="T126" s="2" t="s">
        <v>45</v>
      </c>
      <c r="U126" s="2" t="s">
        <v>46</v>
      </c>
      <c r="V126" s="2" t="s">
        <v>33</v>
      </c>
      <c r="W126" s="2" t="s">
        <v>34</v>
      </c>
      <c r="X126" s="2" t="s">
        <v>47</v>
      </c>
      <c r="Y126" s="2" t="s">
        <v>48</v>
      </c>
      <c r="Z126" s="2" t="s">
        <v>37</v>
      </c>
    </row>
    <row r="127" spans="1:26" x14ac:dyDescent="0.3">
      <c r="A127" s="2">
        <v>10391</v>
      </c>
      <c r="B127" s="2">
        <v>32</v>
      </c>
      <c r="C127" s="2">
        <v>45.25</v>
      </c>
      <c r="D127" s="2">
        <v>6</v>
      </c>
      <c r="E127" s="2">
        <v>1448</v>
      </c>
      <c r="F127" s="13">
        <v>38420</v>
      </c>
      <c r="G127" s="2" t="s">
        <v>23</v>
      </c>
      <c r="H127" s="2">
        <v>4</v>
      </c>
      <c r="I127" s="2">
        <v>11</v>
      </c>
      <c r="J127" s="2" t="str">
        <f t="shared" si="3"/>
        <v>November</v>
      </c>
      <c r="K127" s="2">
        <v>2004</v>
      </c>
      <c r="L127" s="2" t="s">
        <v>69</v>
      </c>
      <c r="M127" s="2">
        <v>168</v>
      </c>
      <c r="N127" s="2" t="s">
        <v>84</v>
      </c>
      <c r="O127" s="2" t="s">
        <v>26</v>
      </c>
      <c r="P127" s="2" t="s">
        <v>27</v>
      </c>
      <c r="Q127" s="2" t="s">
        <v>28</v>
      </c>
      <c r="R127" s="2" t="s">
        <v>29</v>
      </c>
      <c r="S127" s="2" t="s">
        <v>30</v>
      </c>
      <c r="T127" s="2" t="s">
        <v>31</v>
      </c>
      <c r="U127" s="2" t="s">
        <v>32</v>
      </c>
      <c r="V127" s="2" t="s">
        <v>33</v>
      </c>
      <c r="W127" s="2" t="s">
        <v>34</v>
      </c>
      <c r="X127" s="2" t="s">
        <v>35</v>
      </c>
      <c r="Y127" s="2" t="s">
        <v>36</v>
      </c>
      <c r="Z127" s="2" t="s">
        <v>37</v>
      </c>
    </row>
    <row r="128" spans="1:26" x14ac:dyDescent="0.3">
      <c r="A128" s="2">
        <v>10391</v>
      </c>
      <c r="B128" s="2">
        <v>44</v>
      </c>
      <c r="C128" s="2">
        <v>38.5</v>
      </c>
      <c r="D128" s="2">
        <v>5</v>
      </c>
      <c r="E128" s="2">
        <v>1694</v>
      </c>
      <c r="F128" s="13">
        <v>38420</v>
      </c>
      <c r="G128" s="2" t="s">
        <v>23</v>
      </c>
      <c r="H128" s="2">
        <v>1</v>
      </c>
      <c r="I128" s="2">
        <v>3</v>
      </c>
      <c r="J128" s="2" t="str">
        <f t="shared" si="3"/>
        <v>November</v>
      </c>
      <c r="K128" s="2">
        <v>2005</v>
      </c>
      <c r="L128" s="2" t="s">
        <v>69</v>
      </c>
      <c r="M128" s="2">
        <v>44</v>
      </c>
      <c r="N128" s="2" t="s">
        <v>106</v>
      </c>
      <c r="O128" s="2" t="s">
        <v>49</v>
      </c>
      <c r="P128" s="2" t="s">
        <v>50</v>
      </c>
      <c r="Q128" s="2" t="s">
        <v>51</v>
      </c>
      <c r="R128" s="2" t="s">
        <v>52</v>
      </c>
      <c r="S128" s="2" t="s">
        <v>53</v>
      </c>
      <c r="T128" s="2" t="s">
        <v>45</v>
      </c>
      <c r="U128" s="2" t="s">
        <v>54</v>
      </c>
      <c r="V128" s="2" t="s">
        <v>33</v>
      </c>
      <c r="W128" s="2" t="s">
        <v>34</v>
      </c>
      <c r="X128" s="2" t="s">
        <v>55</v>
      </c>
      <c r="Y128" s="2" t="s">
        <v>56</v>
      </c>
      <c r="Z128" s="2" t="s">
        <v>37</v>
      </c>
    </row>
    <row r="129" spans="1:26" x14ac:dyDescent="0.3">
      <c r="A129" s="2">
        <v>10420</v>
      </c>
      <c r="B129" s="2">
        <v>66</v>
      </c>
      <c r="C129" s="2">
        <v>92.95</v>
      </c>
      <c r="D129" s="2">
        <v>6</v>
      </c>
      <c r="E129" s="2">
        <v>6134.7</v>
      </c>
      <c r="F129" s="13">
        <v>38501</v>
      </c>
      <c r="G129" s="2" t="s">
        <v>23</v>
      </c>
      <c r="H129" s="2">
        <v>4</v>
      </c>
      <c r="I129" s="2">
        <v>11</v>
      </c>
      <c r="J129" s="2" t="str">
        <f t="shared" si="3"/>
        <v>April</v>
      </c>
      <c r="K129" s="2">
        <v>2004</v>
      </c>
      <c r="L129" s="2" t="s">
        <v>69</v>
      </c>
      <c r="M129" s="2">
        <v>101</v>
      </c>
      <c r="N129" s="2" t="s">
        <v>86</v>
      </c>
      <c r="O129" s="2" t="s">
        <v>26</v>
      </c>
      <c r="P129" s="2" t="s">
        <v>27</v>
      </c>
      <c r="Q129" s="2" t="s">
        <v>28</v>
      </c>
      <c r="R129" s="2" t="s">
        <v>29</v>
      </c>
      <c r="S129" s="2" t="s">
        <v>30</v>
      </c>
      <c r="T129" s="2" t="s">
        <v>31</v>
      </c>
      <c r="U129" s="2" t="s">
        <v>32</v>
      </c>
      <c r="V129" s="2" t="s">
        <v>33</v>
      </c>
      <c r="W129" s="2" t="s">
        <v>34</v>
      </c>
      <c r="X129" s="2" t="s">
        <v>35</v>
      </c>
      <c r="Y129" s="2" t="s">
        <v>36</v>
      </c>
      <c r="Z129" s="2" t="s">
        <v>37</v>
      </c>
    </row>
    <row r="130" spans="1:26" x14ac:dyDescent="0.3">
      <c r="A130" s="2">
        <v>10120</v>
      </c>
      <c r="B130" s="2">
        <v>29</v>
      </c>
      <c r="C130" s="2">
        <v>72.23</v>
      </c>
      <c r="D130" s="2">
        <v>11</v>
      </c>
      <c r="E130" s="2">
        <v>2094.67</v>
      </c>
      <c r="F130" s="13">
        <v>37740</v>
      </c>
      <c r="G130" s="2" t="s">
        <v>23</v>
      </c>
      <c r="H130" s="2">
        <v>2</v>
      </c>
      <c r="I130" s="2">
        <v>4</v>
      </c>
      <c r="J130" s="2" t="str">
        <f t="shared" ref="J130:J147" si="4">TEXT(DATE(2000,A130,1),"mmmm")</f>
        <v>April</v>
      </c>
      <c r="K130" s="2">
        <v>2003</v>
      </c>
      <c r="L130" s="2" t="s">
        <v>69</v>
      </c>
      <c r="M130" s="2">
        <v>68</v>
      </c>
      <c r="N130" s="2" t="s">
        <v>125</v>
      </c>
      <c r="O130" s="2" t="s">
        <v>26</v>
      </c>
      <c r="P130" s="2" t="s">
        <v>27</v>
      </c>
      <c r="Q130" s="2" t="s">
        <v>28</v>
      </c>
      <c r="R130" s="2" t="s">
        <v>29</v>
      </c>
      <c r="S130" s="2" t="s">
        <v>30</v>
      </c>
      <c r="T130" s="2" t="s">
        <v>31</v>
      </c>
      <c r="U130" s="2" t="s">
        <v>32</v>
      </c>
      <c r="V130" s="2" t="s">
        <v>33</v>
      </c>
      <c r="W130" s="2" t="s">
        <v>34</v>
      </c>
      <c r="X130" s="2" t="s">
        <v>35</v>
      </c>
      <c r="Y130" s="2" t="s">
        <v>36</v>
      </c>
      <c r="Z130" s="2" t="s">
        <v>57</v>
      </c>
    </row>
    <row r="131" spans="1:26" x14ac:dyDescent="0.3">
      <c r="A131" s="2">
        <v>10120</v>
      </c>
      <c r="B131" s="2">
        <v>49</v>
      </c>
      <c r="C131" s="2">
        <v>50.62</v>
      </c>
      <c r="D131" s="2">
        <v>12</v>
      </c>
      <c r="E131" s="2">
        <v>2480.38</v>
      </c>
      <c r="F131" s="13">
        <v>37740</v>
      </c>
      <c r="G131" s="2" t="s">
        <v>23</v>
      </c>
      <c r="H131" s="2">
        <v>2</v>
      </c>
      <c r="I131" s="2">
        <v>4</v>
      </c>
      <c r="J131" s="2" t="str">
        <f t="shared" si="4"/>
        <v>April</v>
      </c>
      <c r="K131" s="2">
        <v>2003</v>
      </c>
      <c r="L131" s="2" t="s">
        <v>69</v>
      </c>
      <c r="M131" s="2">
        <v>43</v>
      </c>
      <c r="N131" s="2" t="s">
        <v>127</v>
      </c>
      <c r="O131" s="2" t="s">
        <v>26</v>
      </c>
      <c r="P131" s="2" t="s">
        <v>27</v>
      </c>
      <c r="Q131" s="2" t="s">
        <v>28</v>
      </c>
      <c r="R131" s="2" t="s">
        <v>29</v>
      </c>
      <c r="S131" s="2" t="s">
        <v>30</v>
      </c>
      <c r="T131" s="2" t="s">
        <v>31</v>
      </c>
      <c r="U131" s="2" t="s">
        <v>32</v>
      </c>
      <c r="V131" s="2" t="s">
        <v>33</v>
      </c>
      <c r="W131" s="2" t="s">
        <v>34</v>
      </c>
      <c r="X131" s="2" t="s">
        <v>35</v>
      </c>
      <c r="Y131" s="2" t="s">
        <v>36</v>
      </c>
      <c r="Z131" s="2" t="s">
        <v>57</v>
      </c>
    </row>
    <row r="132" spans="1:26" x14ac:dyDescent="0.3">
      <c r="A132" s="2">
        <v>10139</v>
      </c>
      <c r="B132" s="2">
        <v>20</v>
      </c>
      <c r="C132" s="2">
        <v>71.2</v>
      </c>
      <c r="D132" s="2">
        <v>3</v>
      </c>
      <c r="E132" s="2">
        <v>1424</v>
      </c>
      <c r="F132" s="13">
        <v>37818</v>
      </c>
      <c r="G132" s="2" t="s">
        <v>23</v>
      </c>
      <c r="H132" s="2">
        <v>4</v>
      </c>
      <c r="I132" s="2">
        <v>11</v>
      </c>
      <c r="J132" s="2" t="str">
        <f t="shared" si="4"/>
        <v>November</v>
      </c>
      <c r="K132" s="2">
        <v>2004</v>
      </c>
      <c r="L132" s="2" t="s">
        <v>69</v>
      </c>
      <c r="M132" s="2">
        <v>53</v>
      </c>
      <c r="N132" s="2" t="s">
        <v>71</v>
      </c>
      <c r="O132" s="2" t="s">
        <v>26</v>
      </c>
      <c r="P132" s="2" t="s">
        <v>27</v>
      </c>
      <c r="Q132" s="2" t="s">
        <v>28</v>
      </c>
      <c r="R132" s="2" t="s">
        <v>29</v>
      </c>
      <c r="S132" s="2" t="s">
        <v>30</v>
      </c>
      <c r="T132" s="2" t="s">
        <v>31</v>
      </c>
      <c r="U132" s="2" t="s">
        <v>32</v>
      </c>
      <c r="V132" s="2" t="s">
        <v>33</v>
      </c>
      <c r="W132" s="2" t="s">
        <v>34</v>
      </c>
      <c r="X132" s="2" t="s">
        <v>35</v>
      </c>
      <c r="Y132" s="2" t="s">
        <v>36</v>
      </c>
      <c r="Z132" s="2" t="s">
        <v>57</v>
      </c>
    </row>
    <row r="133" spans="1:26" x14ac:dyDescent="0.3">
      <c r="A133" s="2">
        <v>10139</v>
      </c>
      <c r="B133" s="2">
        <v>49</v>
      </c>
      <c r="C133" s="2">
        <v>43.13</v>
      </c>
      <c r="D133" s="2">
        <v>6</v>
      </c>
      <c r="E133" s="2">
        <v>2113.37</v>
      </c>
      <c r="F133" s="13">
        <v>37818</v>
      </c>
      <c r="G133" s="2" t="s">
        <v>23</v>
      </c>
      <c r="H133" s="2">
        <v>4</v>
      </c>
      <c r="I133" s="2">
        <v>11</v>
      </c>
      <c r="J133" s="2" t="str">
        <f t="shared" si="4"/>
        <v>November</v>
      </c>
      <c r="K133" s="2">
        <v>2004</v>
      </c>
      <c r="L133" s="2" t="s">
        <v>69</v>
      </c>
      <c r="M133" s="2">
        <v>99</v>
      </c>
      <c r="N133" s="2" t="s">
        <v>91</v>
      </c>
      <c r="O133" s="2" t="s">
        <v>26</v>
      </c>
      <c r="P133" s="2" t="s">
        <v>27</v>
      </c>
      <c r="Q133" s="2" t="s">
        <v>28</v>
      </c>
      <c r="R133" s="2" t="s">
        <v>29</v>
      </c>
      <c r="S133" s="2" t="s">
        <v>30</v>
      </c>
      <c r="T133" s="2" t="s">
        <v>31</v>
      </c>
      <c r="U133" s="2" t="s">
        <v>32</v>
      </c>
      <c r="V133" s="2" t="s">
        <v>33</v>
      </c>
      <c r="W133" s="2" t="s">
        <v>34</v>
      </c>
      <c r="X133" s="2" t="s">
        <v>35</v>
      </c>
      <c r="Y133" s="2" t="s">
        <v>36</v>
      </c>
      <c r="Z133" s="2" t="s">
        <v>57</v>
      </c>
    </row>
    <row r="134" spans="1:26" x14ac:dyDescent="0.3">
      <c r="A134" s="2">
        <v>10223</v>
      </c>
      <c r="B134" s="2">
        <v>20</v>
      </c>
      <c r="C134" s="2">
        <v>66.040000000000006</v>
      </c>
      <c r="D134" s="2">
        <v>12</v>
      </c>
      <c r="E134" s="2">
        <v>1320.8</v>
      </c>
      <c r="F134" s="13">
        <v>38037</v>
      </c>
      <c r="G134" s="2" t="s">
        <v>23</v>
      </c>
      <c r="H134" s="2">
        <v>1</v>
      </c>
      <c r="I134" s="2">
        <v>2</v>
      </c>
      <c r="J134" s="2" t="str">
        <f t="shared" si="4"/>
        <v>November</v>
      </c>
      <c r="K134" s="2">
        <v>2004</v>
      </c>
      <c r="L134" s="2" t="s">
        <v>69</v>
      </c>
      <c r="M134" s="2">
        <v>68</v>
      </c>
      <c r="N134" s="2" t="s">
        <v>125</v>
      </c>
      <c r="O134" s="2" t="s">
        <v>26</v>
      </c>
      <c r="P134" s="2" t="s">
        <v>27</v>
      </c>
      <c r="Q134" s="2" t="s">
        <v>28</v>
      </c>
      <c r="R134" s="2" t="s">
        <v>29</v>
      </c>
      <c r="S134" s="2" t="s">
        <v>30</v>
      </c>
      <c r="T134" s="2" t="s">
        <v>31</v>
      </c>
      <c r="U134" s="2" t="s">
        <v>32</v>
      </c>
      <c r="V134" s="2" t="s">
        <v>33</v>
      </c>
      <c r="W134" s="2" t="s">
        <v>34</v>
      </c>
      <c r="X134" s="2" t="s">
        <v>35</v>
      </c>
      <c r="Y134" s="2" t="s">
        <v>36</v>
      </c>
      <c r="Z134" s="2" t="s">
        <v>57</v>
      </c>
    </row>
    <row r="135" spans="1:26" x14ac:dyDescent="0.3">
      <c r="A135" s="2">
        <v>10223</v>
      </c>
      <c r="B135" s="2">
        <v>29</v>
      </c>
      <c r="C135" s="2">
        <v>100</v>
      </c>
      <c r="D135" s="2">
        <v>8</v>
      </c>
      <c r="E135" s="2">
        <v>3199.86</v>
      </c>
      <c r="F135" s="13">
        <v>38037</v>
      </c>
      <c r="G135" s="2" t="s">
        <v>23</v>
      </c>
      <c r="H135" s="2">
        <v>4</v>
      </c>
      <c r="I135" s="2">
        <v>11</v>
      </c>
      <c r="J135" s="2" t="str">
        <f t="shared" si="4"/>
        <v>November</v>
      </c>
      <c r="K135" s="2">
        <v>2004</v>
      </c>
      <c r="L135" s="2" t="s">
        <v>69</v>
      </c>
      <c r="M135" s="2">
        <v>62</v>
      </c>
      <c r="N135" s="2" t="s">
        <v>87</v>
      </c>
      <c r="O135" s="2" t="s">
        <v>26</v>
      </c>
      <c r="P135" s="2" t="s">
        <v>27</v>
      </c>
      <c r="Q135" s="2" t="s">
        <v>28</v>
      </c>
      <c r="R135" s="2" t="s">
        <v>29</v>
      </c>
      <c r="S135" s="2" t="s">
        <v>30</v>
      </c>
      <c r="T135" s="2" t="s">
        <v>31</v>
      </c>
      <c r="U135" s="2" t="s">
        <v>32</v>
      </c>
      <c r="V135" s="2" t="s">
        <v>33</v>
      </c>
      <c r="W135" s="2" t="s">
        <v>34</v>
      </c>
      <c r="X135" s="2" t="s">
        <v>35</v>
      </c>
      <c r="Y135" s="2" t="s">
        <v>36</v>
      </c>
      <c r="Z135" s="2" t="s">
        <v>57</v>
      </c>
    </row>
    <row r="136" spans="1:26" x14ac:dyDescent="0.3">
      <c r="A136" s="2">
        <v>10223</v>
      </c>
      <c r="B136" s="2">
        <v>41</v>
      </c>
      <c r="C136" s="2">
        <v>46.26</v>
      </c>
      <c r="D136" s="2">
        <v>13</v>
      </c>
      <c r="E136" s="2">
        <v>1896.66</v>
      </c>
      <c r="F136" s="13">
        <v>38037</v>
      </c>
      <c r="G136" s="2" t="s">
        <v>23</v>
      </c>
      <c r="H136" s="2">
        <v>1</v>
      </c>
      <c r="I136" s="2">
        <v>2</v>
      </c>
      <c r="J136" s="2" t="str">
        <f t="shared" si="4"/>
        <v>November</v>
      </c>
      <c r="K136" s="2">
        <v>2004</v>
      </c>
      <c r="L136" s="2" t="s">
        <v>69</v>
      </c>
      <c r="M136" s="2">
        <v>43</v>
      </c>
      <c r="N136" s="2" t="s">
        <v>127</v>
      </c>
      <c r="O136" s="2" t="s">
        <v>26</v>
      </c>
      <c r="P136" s="2" t="s">
        <v>27</v>
      </c>
      <c r="Q136" s="2" t="s">
        <v>28</v>
      </c>
      <c r="R136" s="2" t="s">
        <v>29</v>
      </c>
      <c r="S136" s="2" t="s">
        <v>30</v>
      </c>
      <c r="T136" s="2" t="s">
        <v>31</v>
      </c>
      <c r="U136" s="2" t="s">
        <v>32</v>
      </c>
      <c r="V136" s="2" t="s">
        <v>33</v>
      </c>
      <c r="W136" s="2" t="s">
        <v>34</v>
      </c>
      <c r="X136" s="2" t="s">
        <v>35</v>
      </c>
      <c r="Y136" s="2" t="s">
        <v>36</v>
      </c>
      <c r="Z136" s="2" t="s">
        <v>57</v>
      </c>
    </row>
    <row r="137" spans="1:26" x14ac:dyDescent="0.3">
      <c r="A137" s="2">
        <v>10223</v>
      </c>
      <c r="B137" s="2">
        <v>32</v>
      </c>
      <c r="C137" s="2">
        <v>91.29</v>
      </c>
      <c r="D137" s="2">
        <v>2</v>
      </c>
      <c r="E137" s="2">
        <v>2921.28</v>
      </c>
      <c r="F137" s="13">
        <v>38037</v>
      </c>
      <c r="G137" s="2" t="s">
        <v>23</v>
      </c>
      <c r="H137" s="2">
        <v>1</v>
      </c>
      <c r="I137" s="2">
        <v>3</v>
      </c>
      <c r="J137" s="2" t="str">
        <f t="shared" si="4"/>
        <v>November</v>
      </c>
      <c r="K137" s="2">
        <v>2005</v>
      </c>
      <c r="L137" s="2" t="s">
        <v>69</v>
      </c>
      <c r="M137" s="2">
        <v>101</v>
      </c>
      <c r="N137" s="2" t="s">
        <v>86</v>
      </c>
      <c r="O137" s="2" t="s">
        <v>49</v>
      </c>
      <c r="P137" s="2" t="s">
        <v>50</v>
      </c>
      <c r="Q137" s="2" t="s">
        <v>51</v>
      </c>
      <c r="R137" s="2" t="s">
        <v>52</v>
      </c>
      <c r="S137" s="2" t="s">
        <v>53</v>
      </c>
      <c r="T137" s="2" t="s">
        <v>45</v>
      </c>
      <c r="U137" s="2" t="s">
        <v>54</v>
      </c>
      <c r="V137" s="2" t="s">
        <v>33</v>
      </c>
      <c r="W137" s="2" t="s">
        <v>34</v>
      </c>
      <c r="X137" s="2" t="s">
        <v>55</v>
      </c>
      <c r="Y137" s="2" t="s">
        <v>56</v>
      </c>
      <c r="Z137" s="2" t="s">
        <v>57</v>
      </c>
    </row>
    <row r="138" spans="1:26" x14ac:dyDescent="0.3">
      <c r="A138" s="2">
        <v>10342</v>
      </c>
      <c r="B138" s="2">
        <v>55</v>
      </c>
      <c r="C138" s="2">
        <v>100</v>
      </c>
      <c r="D138" s="2">
        <v>7</v>
      </c>
      <c r="E138" s="2">
        <v>6548.3</v>
      </c>
      <c r="F138" s="13">
        <v>38315</v>
      </c>
      <c r="G138" s="2" t="s">
        <v>23</v>
      </c>
      <c r="H138" s="2">
        <v>3</v>
      </c>
      <c r="I138" s="2">
        <v>7</v>
      </c>
      <c r="J138" s="2" t="str">
        <f t="shared" si="4"/>
        <v>October</v>
      </c>
      <c r="K138" s="2">
        <v>2003</v>
      </c>
      <c r="L138" s="2" t="s">
        <v>69</v>
      </c>
      <c r="M138" s="2">
        <v>53</v>
      </c>
      <c r="N138" s="2" t="s">
        <v>71</v>
      </c>
      <c r="O138" s="2" t="s">
        <v>40</v>
      </c>
      <c r="P138" s="2" t="s">
        <v>41</v>
      </c>
      <c r="Q138" s="2" t="s">
        <v>42</v>
      </c>
      <c r="R138" s="2" t="s">
        <v>43</v>
      </c>
      <c r="S138" s="2" t="s">
        <v>44</v>
      </c>
      <c r="T138" s="2" t="s">
        <v>45</v>
      </c>
      <c r="U138" s="2" t="s">
        <v>46</v>
      </c>
      <c r="V138" s="2" t="s">
        <v>33</v>
      </c>
      <c r="W138" s="2" t="s">
        <v>34</v>
      </c>
      <c r="X138" s="2" t="s">
        <v>47</v>
      </c>
      <c r="Y138" s="2" t="s">
        <v>48</v>
      </c>
      <c r="Z138" s="2" t="s">
        <v>57</v>
      </c>
    </row>
    <row r="139" spans="1:26" x14ac:dyDescent="0.3">
      <c r="A139" s="2">
        <v>10347</v>
      </c>
      <c r="B139" s="2">
        <v>21</v>
      </c>
      <c r="C139" s="2">
        <v>58.95</v>
      </c>
      <c r="D139" s="2">
        <v>7</v>
      </c>
      <c r="E139" s="2">
        <v>1237.95</v>
      </c>
      <c r="F139" s="13">
        <v>38320</v>
      </c>
      <c r="G139" s="2" t="s">
        <v>23</v>
      </c>
      <c r="H139" s="2">
        <v>1</v>
      </c>
      <c r="I139" s="2">
        <v>1</v>
      </c>
      <c r="J139" s="2" t="str">
        <f t="shared" si="4"/>
        <v>March</v>
      </c>
      <c r="K139" s="2">
        <v>2005</v>
      </c>
      <c r="L139" s="2" t="s">
        <v>69</v>
      </c>
      <c r="M139" s="2">
        <v>50</v>
      </c>
      <c r="N139" s="2" t="s">
        <v>97</v>
      </c>
      <c r="O139" s="2" t="s">
        <v>49</v>
      </c>
      <c r="P139" s="2" t="s">
        <v>50</v>
      </c>
      <c r="Q139" s="2" t="s">
        <v>51</v>
      </c>
      <c r="R139" s="2" t="s">
        <v>52</v>
      </c>
      <c r="S139" s="2" t="s">
        <v>53</v>
      </c>
      <c r="T139" s="2" t="s">
        <v>45</v>
      </c>
      <c r="U139" s="2" t="s">
        <v>54</v>
      </c>
      <c r="V139" s="2" t="s">
        <v>33</v>
      </c>
      <c r="W139" s="2" t="s">
        <v>34</v>
      </c>
      <c r="X139" s="2" t="s">
        <v>55</v>
      </c>
      <c r="Y139" s="2" t="s">
        <v>56</v>
      </c>
      <c r="Z139" s="2" t="s">
        <v>57</v>
      </c>
    </row>
    <row r="140" spans="1:26" x14ac:dyDescent="0.3">
      <c r="A140" s="2">
        <v>10361</v>
      </c>
      <c r="B140" s="2">
        <v>24</v>
      </c>
      <c r="C140" s="2">
        <v>45.39</v>
      </c>
      <c r="D140" s="2">
        <v>14</v>
      </c>
      <c r="E140" s="2">
        <v>1089.3599999999999</v>
      </c>
      <c r="F140" s="13">
        <v>38338</v>
      </c>
      <c r="G140" s="2" t="s">
        <v>23</v>
      </c>
      <c r="H140" s="2">
        <v>3</v>
      </c>
      <c r="I140" s="2">
        <v>7</v>
      </c>
      <c r="J140" s="2" t="str">
        <f t="shared" si="4"/>
        <v>May</v>
      </c>
      <c r="K140" s="2">
        <v>2003</v>
      </c>
      <c r="L140" s="2" t="s">
        <v>69</v>
      </c>
      <c r="M140" s="2">
        <v>62</v>
      </c>
      <c r="N140" s="2" t="s">
        <v>87</v>
      </c>
      <c r="O140" s="2" t="s">
        <v>40</v>
      </c>
      <c r="P140" s="2" t="s">
        <v>41</v>
      </c>
      <c r="Q140" s="2" t="s">
        <v>42</v>
      </c>
      <c r="R140" s="2" t="s">
        <v>43</v>
      </c>
      <c r="S140" s="2" t="s">
        <v>44</v>
      </c>
      <c r="T140" s="2" t="s">
        <v>45</v>
      </c>
      <c r="U140" s="2" t="s">
        <v>46</v>
      </c>
      <c r="V140" s="2" t="s">
        <v>33</v>
      </c>
      <c r="W140" s="2" t="s">
        <v>34</v>
      </c>
      <c r="X140" s="2" t="s">
        <v>47</v>
      </c>
      <c r="Y140" s="2" t="s">
        <v>48</v>
      </c>
      <c r="Z140" s="2" t="s">
        <v>57</v>
      </c>
    </row>
    <row r="141" spans="1:26" x14ac:dyDescent="0.3">
      <c r="A141" s="2">
        <v>10361</v>
      </c>
      <c r="B141" s="2">
        <v>26</v>
      </c>
      <c r="C141" s="2">
        <v>100</v>
      </c>
      <c r="D141" s="2">
        <v>9</v>
      </c>
      <c r="E141" s="2">
        <v>2754.7</v>
      </c>
      <c r="F141" s="13">
        <v>38338</v>
      </c>
      <c r="G141" s="2" t="s">
        <v>23</v>
      </c>
      <c r="H141" s="2">
        <v>3</v>
      </c>
      <c r="I141" s="2">
        <v>7</v>
      </c>
      <c r="J141" s="2" t="str">
        <f t="shared" si="4"/>
        <v>May</v>
      </c>
      <c r="K141" s="2">
        <v>2004</v>
      </c>
      <c r="L141" s="2" t="s">
        <v>69</v>
      </c>
      <c r="M141" s="2">
        <v>101</v>
      </c>
      <c r="N141" s="2" t="s">
        <v>86</v>
      </c>
      <c r="O141" s="2" t="s">
        <v>40</v>
      </c>
      <c r="P141" s="2" t="s">
        <v>41</v>
      </c>
      <c r="Q141" s="2" t="s">
        <v>42</v>
      </c>
      <c r="R141" s="2" t="s">
        <v>43</v>
      </c>
      <c r="S141" s="2" t="s">
        <v>44</v>
      </c>
      <c r="T141" s="2" t="s">
        <v>45</v>
      </c>
      <c r="U141" s="2" t="s">
        <v>46</v>
      </c>
      <c r="V141" s="2" t="s">
        <v>33</v>
      </c>
      <c r="W141" s="2" t="s">
        <v>34</v>
      </c>
      <c r="X141" s="2" t="s">
        <v>47</v>
      </c>
      <c r="Y141" s="2" t="s">
        <v>48</v>
      </c>
      <c r="Z141" s="2" t="s">
        <v>57</v>
      </c>
    </row>
    <row r="142" spans="1:26" x14ac:dyDescent="0.3">
      <c r="A142" s="2">
        <v>10361</v>
      </c>
      <c r="B142" s="2">
        <v>33</v>
      </c>
      <c r="C142" s="2">
        <v>82.59</v>
      </c>
      <c r="D142" s="2">
        <v>3</v>
      </c>
      <c r="E142" s="2">
        <v>2725.47</v>
      </c>
      <c r="F142" s="13">
        <v>38338</v>
      </c>
      <c r="G142" s="2" t="s">
        <v>23</v>
      </c>
      <c r="H142" s="2">
        <v>4</v>
      </c>
      <c r="I142" s="2">
        <v>12</v>
      </c>
      <c r="J142" s="2" t="str">
        <f t="shared" si="4"/>
        <v>May</v>
      </c>
      <c r="K142" s="2">
        <v>2004</v>
      </c>
      <c r="L142" s="2" t="s">
        <v>69</v>
      </c>
      <c r="M142" s="2">
        <v>43</v>
      </c>
      <c r="N142" s="2" t="s">
        <v>127</v>
      </c>
      <c r="O142" s="2" t="s">
        <v>40</v>
      </c>
      <c r="P142" s="2" t="s">
        <v>41</v>
      </c>
      <c r="Q142" s="2" t="s">
        <v>42</v>
      </c>
      <c r="R142" s="2" t="s">
        <v>43</v>
      </c>
      <c r="S142" s="2" t="s">
        <v>44</v>
      </c>
      <c r="T142" s="2" t="s">
        <v>45</v>
      </c>
      <c r="U142" s="2" t="s">
        <v>46</v>
      </c>
      <c r="V142" s="2" t="s">
        <v>33</v>
      </c>
      <c r="W142" s="2" t="s">
        <v>34</v>
      </c>
      <c r="X142" s="2" t="s">
        <v>47</v>
      </c>
      <c r="Y142" s="2" t="s">
        <v>48</v>
      </c>
      <c r="Z142" s="2" t="s">
        <v>57</v>
      </c>
    </row>
    <row r="143" spans="1:26" x14ac:dyDescent="0.3">
      <c r="A143" s="2">
        <v>10420</v>
      </c>
      <c r="B143" s="2">
        <v>15</v>
      </c>
      <c r="C143" s="2">
        <v>43.49</v>
      </c>
      <c r="D143" s="2">
        <v>3</v>
      </c>
      <c r="E143" s="2">
        <v>652.35</v>
      </c>
      <c r="F143" s="13">
        <v>38501</v>
      </c>
      <c r="G143" s="2" t="s">
        <v>73</v>
      </c>
      <c r="H143" s="2">
        <v>2</v>
      </c>
      <c r="I143" s="2">
        <v>5</v>
      </c>
      <c r="J143" s="2" t="str">
        <f t="shared" si="4"/>
        <v>April</v>
      </c>
      <c r="K143" s="2">
        <v>2005</v>
      </c>
      <c r="L143" s="2" t="s">
        <v>69</v>
      </c>
      <c r="M143" s="2">
        <v>41</v>
      </c>
      <c r="N143" s="2" t="s">
        <v>117</v>
      </c>
      <c r="O143" s="2" t="s">
        <v>40</v>
      </c>
      <c r="P143" s="2" t="s">
        <v>41</v>
      </c>
      <c r="Q143" s="2" t="s">
        <v>42</v>
      </c>
      <c r="R143" s="2" t="s">
        <v>43</v>
      </c>
      <c r="S143" s="2" t="s">
        <v>44</v>
      </c>
      <c r="T143" s="2" t="s">
        <v>45</v>
      </c>
      <c r="U143" s="2" t="s">
        <v>46</v>
      </c>
      <c r="V143" s="2" t="s">
        <v>33</v>
      </c>
      <c r="W143" s="2" t="s">
        <v>34</v>
      </c>
      <c r="X143" s="2" t="s">
        <v>47</v>
      </c>
      <c r="Y143" s="2" t="s">
        <v>48</v>
      </c>
      <c r="Z143" s="2" t="s">
        <v>57</v>
      </c>
    </row>
    <row r="144" spans="1:26" x14ac:dyDescent="0.3">
      <c r="A144" s="2">
        <v>10420</v>
      </c>
      <c r="B144" s="2">
        <v>37</v>
      </c>
      <c r="C144" s="2">
        <v>100</v>
      </c>
      <c r="D144" s="2">
        <v>5</v>
      </c>
      <c r="E144" s="2">
        <v>5283.6</v>
      </c>
      <c r="F144" s="13">
        <v>38501</v>
      </c>
      <c r="G144" s="2" t="s">
        <v>73</v>
      </c>
      <c r="H144" s="2">
        <v>2</v>
      </c>
      <c r="I144" s="2">
        <v>5</v>
      </c>
      <c r="J144" s="2" t="str">
        <f t="shared" si="4"/>
        <v>April</v>
      </c>
      <c r="K144" s="2">
        <v>2005</v>
      </c>
      <c r="L144" s="2" t="s">
        <v>69</v>
      </c>
      <c r="M144" s="2">
        <v>33</v>
      </c>
      <c r="N144" s="2" t="s">
        <v>104</v>
      </c>
      <c r="O144" s="2" t="s">
        <v>40</v>
      </c>
      <c r="P144" s="2" t="s">
        <v>41</v>
      </c>
      <c r="Q144" s="2" t="s">
        <v>42</v>
      </c>
      <c r="R144" s="2" t="s">
        <v>43</v>
      </c>
      <c r="S144" s="2" t="s">
        <v>44</v>
      </c>
      <c r="T144" s="2" t="s">
        <v>45</v>
      </c>
      <c r="U144" s="2" t="s">
        <v>46</v>
      </c>
      <c r="V144" s="2" t="s">
        <v>33</v>
      </c>
      <c r="W144" s="2" t="s">
        <v>34</v>
      </c>
      <c r="X144" s="2" t="s">
        <v>47</v>
      </c>
      <c r="Y144" s="2" t="s">
        <v>48</v>
      </c>
      <c r="Z144" s="2" t="s">
        <v>57</v>
      </c>
    </row>
    <row r="145" spans="1:26" x14ac:dyDescent="0.3">
      <c r="A145" s="2">
        <v>10420</v>
      </c>
      <c r="B145" s="2">
        <v>45</v>
      </c>
      <c r="C145" s="2">
        <v>26.88</v>
      </c>
      <c r="D145" s="2">
        <v>1</v>
      </c>
      <c r="E145" s="2">
        <v>1209.5999999999999</v>
      </c>
      <c r="F145" s="13">
        <v>38501</v>
      </c>
      <c r="G145" s="2" t="s">
        <v>23</v>
      </c>
      <c r="H145" s="2">
        <v>3</v>
      </c>
      <c r="I145" s="2">
        <v>7</v>
      </c>
      <c r="J145" s="2" t="str">
        <f t="shared" si="4"/>
        <v>April</v>
      </c>
      <c r="K145" s="2">
        <v>2003</v>
      </c>
      <c r="L145" s="2" t="s">
        <v>69</v>
      </c>
      <c r="M145" s="2">
        <v>104</v>
      </c>
      <c r="N145" s="2" t="s">
        <v>88</v>
      </c>
      <c r="O145" s="2" t="s">
        <v>40</v>
      </c>
      <c r="P145" s="2" t="s">
        <v>41</v>
      </c>
      <c r="Q145" s="2" t="s">
        <v>42</v>
      </c>
      <c r="R145" s="2" t="s">
        <v>43</v>
      </c>
      <c r="S145" s="2" t="s">
        <v>44</v>
      </c>
      <c r="T145" s="2" t="s">
        <v>45</v>
      </c>
      <c r="U145" s="2" t="s">
        <v>46</v>
      </c>
      <c r="V145" s="2" t="s">
        <v>33</v>
      </c>
      <c r="W145" s="2" t="s">
        <v>34</v>
      </c>
      <c r="X145" s="2" t="s">
        <v>47</v>
      </c>
      <c r="Y145" s="2" t="s">
        <v>48</v>
      </c>
      <c r="Z145" s="2" t="s">
        <v>57</v>
      </c>
    </row>
    <row r="146" spans="1:26" x14ac:dyDescent="0.3">
      <c r="A146" s="2">
        <v>10420</v>
      </c>
      <c r="B146" s="2">
        <v>45</v>
      </c>
      <c r="C146" s="2">
        <v>100</v>
      </c>
      <c r="D146" s="2">
        <v>2</v>
      </c>
      <c r="E146" s="2">
        <v>4977</v>
      </c>
      <c r="F146" s="13">
        <v>38501</v>
      </c>
      <c r="G146" s="2" t="s">
        <v>23</v>
      </c>
      <c r="H146" s="2">
        <v>3</v>
      </c>
      <c r="I146" s="2">
        <v>7</v>
      </c>
      <c r="J146" s="2" t="str">
        <f t="shared" si="4"/>
        <v>April</v>
      </c>
      <c r="K146" s="2">
        <v>2004</v>
      </c>
      <c r="L146" s="2" t="s">
        <v>69</v>
      </c>
      <c r="M146" s="2">
        <v>50</v>
      </c>
      <c r="N146" s="2" t="s">
        <v>97</v>
      </c>
      <c r="O146" s="2" t="s">
        <v>40</v>
      </c>
      <c r="P146" s="2" t="s">
        <v>41</v>
      </c>
      <c r="Q146" s="2" t="s">
        <v>42</v>
      </c>
      <c r="R146" s="2" t="s">
        <v>43</v>
      </c>
      <c r="S146" s="2" t="s">
        <v>44</v>
      </c>
      <c r="T146" s="2" t="s">
        <v>45</v>
      </c>
      <c r="U146" s="2" t="s">
        <v>46</v>
      </c>
      <c r="V146" s="2" t="s">
        <v>33</v>
      </c>
      <c r="W146" s="2" t="s">
        <v>34</v>
      </c>
      <c r="X146" s="2" t="s">
        <v>47</v>
      </c>
      <c r="Y146" s="2" t="s">
        <v>48</v>
      </c>
      <c r="Z146" s="2" t="s">
        <v>57</v>
      </c>
    </row>
    <row r="147" spans="1:26" x14ac:dyDescent="0.3">
      <c r="A147" s="2">
        <v>10420</v>
      </c>
      <c r="B147" s="2">
        <v>60</v>
      </c>
      <c r="C147" s="2">
        <v>64.67</v>
      </c>
      <c r="D147" s="2">
        <v>11</v>
      </c>
      <c r="E147" s="2">
        <v>3880.2</v>
      </c>
      <c r="F147" s="13">
        <v>38501</v>
      </c>
      <c r="G147" s="2" t="s">
        <v>73</v>
      </c>
      <c r="H147" s="2">
        <v>2</v>
      </c>
      <c r="I147" s="2">
        <v>5</v>
      </c>
      <c r="J147" s="2" t="str">
        <f t="shared" si="4"/>
        <v>April</v>
      </c>
      <c r="K147" s="2">
        <v>2005</v>
      </c>
      <c r="L147" s="2" t="s">
        <v>69</v>
      </c>
      <c r="M147" s="2">
        <v>60</v>
      </c>
      <c r="N147" s="2" t="s">
        <v>77</v>
      </c>
      <c r="O147" s="2" t="s">
        <v>40</v>
      </c>
      <c r="P147" s="2" t="s">
        <v>41</v>
      </c>
      <c r="Q147" s="2" t="s">
        <v>42</v>
      </c>
      <c r="R147" s="2" t="s">
        <v>43</v>
      </c>
      <c r="S147" s="2" t="s">
        <v>44</v>
      </c>
      <c r="T147" s="2" t="s">
        <v>45</v>
      </c>
      <c r="U147" s="2" t="s">
        <v>46</v>
      </c>
      <c r="V147" s="2" t="s">
        <v>33</v>
      </c>
      <c r="W147" s="2" t="s">
        <v>34</v>
      </c>
      <c r="X147" s="2" t="s">
        <v>47</v>
      </c>
      <c r="Y147" s="2" t="s">
        <v>48</v>
      </c>
      <c r="Z147" s="2" t="s">
        <v>57</v>
      </c>
    </row>
    <row r="148" spans="1:26" x14ac:dyDescent="0.3">
      <c r="C148" s="17"/>
      <c r="E148" s="17"/>
      <c r="F148" s="13"/>
      <c r="L148" s="18"/>
    </row>
    <row r="149" spans="1:26" x14ac:dyDescent="0.3">
      <c r="C149" s="17"/>
      <c r="F149" s="13"/>
      <c r="L149" s="18"/>
    </row>
    <row r="150" spans="1:26" x14ac:dyDescent="0.3">
      <c r="C150" s="17"/>
      <c r="F150" s="13"/>
      <c r="L150" s="18"/>
    </row>
    <row r="151" spans="1:26" x14ac:dyDescent="0.3">
      <c r="C151" s="17"/>
      <c r="F151" s="13"/>
      <c r="L151" s="18"/>
    </row>
    <row r="152" spans="1:26" x14ac:dyDescent="0.3">
      <c r="C152" s="17"/>
      <c r="F152" s="13"/>
      <c r="L152" s="18"/>
    </row>
    <row r="153" spans="1:26" x14ac:dyDescent="0.3">
      <c r="C153" s="17"/>
      <c r="F153" s="13"/>
      <c r="L153" s="18"/>
    </row>
    <row r="154" spans="1:26" x14ac:dyDescent="0.3">
      <c r="C154" s="17"/>
      <c r="F154" s="13"/>
      <c r="L154" s="18"/>
    </row>
    <row r="155" spans="1:26" x14ac:dyDescent="0.3">
      <c r="C155" s="17"/>
      <c r="F155" s="13"/>
      <c r="L155" s="18"/>
    </row>
    <row r="156" spans="1:26" x14ac:dyDescent="0.3">
      <c r="C156" s="17"/>
      <c r="F156" s="13"/>
      <c r="L156" s="18"/>
    </row>
  </sheetData>
  <sortState xmlns:xlrd2="http://schemas.microsoft.com/office/spreadsheetml/2017/richdata2" ref="A2:Z157">
    <sortCondition ref="L2"/>
  </sortState>
  <pageMargins left="0.75" right="0.75" top="1" bottom="1" header="0.5" footer="0.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2A678-46B0-447B-9568-C9D8E0F4AFF2}">
  <sheetPr codeName="Sheet6"/>
  <dimension ref="A1:O147"/>
  <sheetViews>
    <sheetView topLeftCell="B1" workbookViewId="0">
      <selection activeCell="D15" sqref="D15"/>
    </sheetView>
  </sheetViews>
  <sheetFormatPr defaultRowHeight="14.4" x14ac:dyDescent="0.3"/>
  <cols>
    <col min="1" max="1" width="28.109375" style="2" bestFit="1" customWidth="1"/>
    <col min="2" max="2" width="36" bestFit="1" customWidth="1"/>
    <col min="3" max="3" width="21.33203125" bestFit="1" customWidth="1"/>
    <col min="4" max="4" width="12.44140625" bestFit="1" customWidth="1"/>
    <col min="5" max="5" width="22.5546875" bestFit="1" customWidth="1"/>
    <col min="6" max="6" width="26.109375" bestFit="1" customWidth="1"/>
    <col min="7" max="7" width="11.88671875" bestFit="1" customWidth="1"/>
    <col min="8" max="8" width="18.44140625" bestFit="1" customWidth="1"/>
    <col min="10" max="10" width="35" bestFit="1" customWidth="1"/>
    <col min="11" max="11" width="11.88671875" bestFit="1" customWidth="1"/>
    <col min="12" max="12" width="18.33203125" bestFit="1" customWidth="1"/>
    <col min="15" max="15" width="24.21875" bestFit="1" customWidth="1"/>
    <col min="16" max="16" width="11.88671875" bestFit="1" customWidth="1"/>
  </cols>
  <sheetData>
    <row r="1" spans="1:15" ht="25.2" x14ac:dyDescent="0.6">
      <c r="A1" s="24" t="s">
        <v>0</v>
      </c>
      <c r="B1" s="24" t="s">
        <v>1</v>
      </c>
      <c r="C1" s="24" t="s">
        <v>2</v>
      </c>
      <c r="D1" s="24" t="s">
        <v>162</v>
      </c>
      <c r="E1" s="24" t="s">
        <v>4</v>
      </c>
      <c r="F1" s="24" t="s">
        <v>9</v>
      </c>
      <c r="G1" s="24" t="s">
        <v>15</v>
      </c>
      <c r="H1" s="24" t="s">
        <v>22</v>
      </c>
    </row>
    <row r="2" spans="1:15" x14ac:dyDescent="0.3">
      <c r="A2" s="3">
        <v>10420</v>
      </c>
      <c r="B2" s="3">
        <v>15</v>
      </c>
      <c r="C2" s="4">
        <v>43.49</v>
      </c>
      <c r="D2" s="4">
        <v>652.35</v>
      </c>
      <c r="E2" s="5">
        <v>38501</v>
      </c>
      <c r="F2" s="3" t="s">
        <v>69</v>
      </c>
      <c r="G2" s="3" t="s">
        <v>44</v>
      </c>
      <c r="H2" s="3" t="s">
        <v>57</v>
      </c>
    </row>
    <row r="3" spans="1:15" x14ac:dyDescent="0.3">
      <c r="A3" s="3">
        <v>10169</v>
      </c>
      <c r="B3" s="3">
        <v>26</v>
      </c>
      <c r="C3" s="4">
        <v>39.83</v>
      </c>
      <c r="D3" s="4">
        <v>1035.58</v>
      </c>
      <c r="E3" s="5">
        <v>37929</v>
      </c>
      <c r="F3" s="3" t="s">
        <v>24</v>
      </c>
      <c r="G3" s="3" t="s">
        <v>53</v>
      </c>
      <c r="H3" s="3" t="s">
        <v>57</v>
      </c>
    </row>
    <row r="4" spans="1:15" x14ac:dyDescent="0.3">
      <c r="A4" s="3">
        <v>10361</v>
      </c>
      <c r="B4" s="3">
        <v>24</v>
      </c>
      <c r="C4" s="4">
        <v>45.39</v>
      </c>
      <c r="D4" s="4">
        <v>1089.3599999999999</v>
      </c>
      <c r="E4" s="5">
        <v>38338</v>
      </c>
      <c r="F4" s="3" t="s">
        <v>69</v>
      </c>
      <c r="G4" s="3" t="s">
        <v>44</v>
      </c>
      <c r="H4" s="3" t="s">
        <v>57</v>
      </c>
    </row>
    <row r="5" spans="1:15" x14ac:dyDescent="0.3">
      <c r="A5" s="3">
        <v>10420</v>
      </c>
      <c r="B5" s="3">
        <v>45</v>
      </c>
      <c r="C5" s="4">
        <v>26.88</v>
      </c>
      <c r="D5" s="4">
        <v>1209.5999999999999</v>
      </c>
      <c r="E5" s="5">
        <v>38501</v>
      </c>
      <c r="F5" s="3" t="s">
        <v>69</v>
      </c>
      <c r="G5" s="3" t="s">
        <v>44</v>
      </c>
      <c r="H5" s="3" t="s">
        <v>57</v>
      </c>
    </row>
    <row r="6" spans="1:15" x14ac:dyDescent="0.3">
      <c r="A6" s="3">
        <v>10361</v>
      </c>
      <c r="B6" s="3">
        <v>20</v>
      </c>
      <c r="C6" s="4">
        <v>60.54</v>
      </c>
      <c r="D6" s="4">
        <v>1210.8</v>
      </c>
      <c r="E6" s="5">
        <v>38338</v>
      </c>
      <c r="F6" s="3" t="s">
        <v>81</v>
      </c>
      <c r="G6" s="3" t="s">
        <v>44</v>
      </c>
      <c r="H6" s="3" t="s">
        <v>57</v>
      </c>
    </row>
    <row r="7" spans="1:15" x14ac:dyDescent="0.3">
      <c r="A7" s="9">
        <v>10347</v>
      </c>
      <c r="B7" s="9">
        <v>21</v>
      </c>
      <c r="C7" s="10">
        <v>58.95</v>
      </c>
      <c r="D7" s="10">
        <v>1237.95</v>
      </c>
      <c r="E7" s="11">
        <v>38320</v>
      </c>
      <c r="F7" s="9" t="s">
        <v>69</v>
      </c>
      <c r="G7" s="9" t="s">
        <v>53</v>
      </c>
      <c r="H7" s="9" t="s">
        <v>57</v>
      </c>
    </row>
    <row r="8" spans="1:15" x14ac:dyDescent="0.3">
      <c r="A8" s="3">
        <v>10223</v>
      </c>
      <c r="B8" s="3">
        <v>20</v>
      </c>
      <c r="C8" s="4">
        <v>66.040000000000006</v>
      </c>
      <c r="D8" s="4">
        <v>1320.8</v>
      </c>
      <c r="E8" s="5">
        <v>38037</v>
      </c>
      <c r="F8" s="3" t="s">
        <v>69</v>
      </c>
      <c r="G8" s="3" t="s">
        <v>30</v>
      </c>
      <c r="H8" s="3" t="s">
        <v>57</v>
      </c>
    </row>
    <row r="9" spans="1:15" x14ac:dyDescent="0.3">
      <c r="A9" s="3">
        <v>10361</v>
      </c>
      <c r="B9" s="3">
        <v>26</v>
      </c>
      <c r="C9" s="4">
        <v>51.15</v>
      </c>
      <c r="D9" s="4">
        <v>1329.9</v>
      </c>
      <c r="E9" s="5">
        <v>38338</v>
      </c>
      <c r="F9" s="3" t="s">
        <v>38</v>
      </c>
      <c r="G9" s="3" t="s">
        <v>44</v>
      </c>
      <c r="H9" s="3" t="s">
        <v>37</v>
      </c>
    </row>
    <row r="10" spans="1:15" x14ac:dyDescent="0.3">
      <c r="A10" s="3">
        <v>10270</v>
      </c>
      <c r="B10" s="3">
        <v>21</v>
      </c>
      <c r="C10" s="4">
        <v>63.35</v>
      </c>
      <c r="D10" s="4">
        <v>1330.35</v>
      </c>
      <c r="E10" s="5">
        <v>38187</v>
      </c>
      <c r="F10" s="3" t="s">
        <v>63</v>
      </c>
      <c r="G10" s="3" t="s">
        <v>44</v>
      </c>
      <c r="H10" s="3" t="s">
        <v>57</v>
      </c>
    </row>
    <row r="11" spans="1:15" ht="25.2" x14ac:dyDescent="0.6">
      <c r="A11" s="3">
        <v>10139</v>
      </c>
      <c r="B11" s="3">
        <v>20</v>
      </c>
      <c r="C11" s="4">
        <v>71.2</v>
      </c>
      <c r="D11" s="4">
        <v>1424</v>
      </c>
      <c r="E11" s="5">
        <v>37818</v>
      </c>
      <c r="F11" s="3" t="s">
        <v>69</v>
      </c>
      <c r="G11" s="3" t="s">
        <v>30</v>
      </c>
      <c r="H11" s="3" t="s">
        <v>57</v>
      </c>
      <c r="J11" s="24" t="s">
        <v>164</v>
      </c>
      <c r="K11" s="24"/>
      <c r="L11" s="24"/>
      <c r="O11" s="2"/>
    </row>
    <row r="12" spans="1:15" x14ac:dyDescent="0.3">
      <c r="A12" s="3">
        <v>10391</v>
      </c>
      <c r="B12" s="3">
        <v>32</v>
      </c>
      <c r="C12" s="4">
        <v>45.25</v>
      </c>
      <c r="D12" s="4">
        <v>1448</v>
      </c>
      <c r="E12" s="5">
        <v>38420</v>
      </c>
      <c r="F12" s="3" t="s">
        <v>69</v>
      </c>
      <c r="G12" s="3" t="s">
        <v>30</v>
      </c>
      <c r="H12" s="3" t="s">
        <v>37</v>
      </c>
      <c r="J12" s="19" t="s">
        <v>172</v>
      </c>
      <c r="K12" s="19" t="s">
        <v>173</v>
      </c>
      <c r="L12" s="19" t="s">
        <v>174</v>
      </c>
      <c r="O12" s="2"/>
    </row>
    <row r="13" spans="1:15" x14ac:dyDescent="0.3">
      <c r="A13" s="3">
        <v>10342</v>
      </c>
      <c r="B13" s="3">
        <v>26</v>
      </c>
      <c r="C13" s="4">
        <v>55.95</v>
      </c>
      <c r="D13" s="4">
        <v>1454.7</v>
      </c>
      <c r="E13" s="5">
        <v>38315</v>
      </c>
      <c r="F13" s="3" t="s">
        <v>38</v>
      </c>
      <c r="G13" s="3" t="s">
        <v>53</v>
      </c>
      <c r="H13" s="3" t="s">
        <v>57</v>
      </c>
      <c r="J13" s="3" t="s">
        <v>167</v>
      </c>
      <c r="K13" s="20">
        <f>SUMIF(F1:F147,"Classic Cars",D1:D147)</f>
        <v>167950.14999999997</v>
      </c>
      <c r="L13" s="21">
        <f>SUMIF(F1:F147,"Classic Cars",B1:B147)</f>
        <v>1504</v>
      </c>
      <c r="O13" s="2"/>
    </row>
    <row r="14" spans="1:15" x14ac:dyDescent="0.3">
      <c r="A14" s="3">
        <v>10148</v>
      </c>
      <c r="B14" s="3">
        <v>25</v>
      </c>
      <c r="C14" s="4">
        <v>60.26</v>
      </c>
      <c r="D14" s="4">
        <v>1506.5</v>
      </c>
      <c r="E14" s="5">
        <v>37875</v>
      </c>
      <c r="F14" s="3" t="s">
        <v>38</v>
      </c>
      <c r="G14" s="3" t="s">
        <v>30</v>
      </c>
      <c r="H14" s="3" t="s">
        <v>37</v>
      </c>
      <c r="J14" s="3" t="s">
        <v>165</v>
      </c>
      <c r="K14" s="20">
        <f ca="1">SUMIF(F1:F147,"Vintage Cars",D2:D147)</f>
        <v>123985.17000000003</v>
      </c>
      <c r="L14" s="21">
        <f>SUMIF(F1:F147,"Vintage Cars",B1:B147)</f>
        <v>1426</v>
      </c>
      <c r="O14" s="2"/>
    </row>
    <row r="15" spans="1:15" x14ac:dyDescent="0.3">
      <c r="A15" s="3">
        <v>10370</v>
      </c>
      <c r="B15" s="3">
        <v>27</v>
      </c>
      <c r="C15" s="4">
        <v>56.85</v>
      </c>
      <c r="D15" s="4">
        <v>1534.95</v>
      </c>
      <c r="E15" s="5">
        <v>38372</v>
      </c>
      <c r="F15" s="3" t="s">
        <v>63</v>
      </c>
      <c r="G15" s="3" t="s">
        <v>53</v>
      </c>
      <c r="H15" s="3" t="s">
        <v>37</v>
      </c>
      <c r="J15" s="3" t="s">
        <v>168</v>
      </c>
      <c r="K15" s="20">
        <f>SUMIF(F1:F147,"Trucks and Buses",D1:D147)</f>
        <v>64049.279999999992</v>
      </c>
      <c r="L15" s="21">
        <f>SUMIF(F1:F147,"Trucks and Buses",B1:B147)</f>
        <v>592</v>
      </c>
    </row>
    <row r="16" spans="1:15" x14ac:dyDescent="0.3">
      <c r="A16" s="3">
        <v>10148</v>
      </c>
      <c r="B16" s="3">
        <v>21</v>
      </c>
      <c r="C16" s="4">
        <v>73.599999999999994</v>
      </c>
      <c r="D16" s="4">
        <v>1545.6</v>
      </c>
      <c r="E16" s="5">
        <v>37875</v>
      </c>
      <c r="F16" s="3" t="s">
        <v>63</v>
      </c>
      <c r="G16" s="3" t="s">
        <v>53</v>
      </c>
      <c r="H16" s="3" t="s">
        <v>57</v>
      </c>
      <c r="J16" s="3" t="s">
        <v>169</v>
      </c>
      <c r="K16" s="4">
        <f>SUMIF(F1:F147,"Motorcycles",D1:D147)</f>
        <v>75760.73</v>
      </c>
      <c r="L16" s="21">
        <f>SUMIF(F1:F147,"Motorcycles",B1:B147)</f>
        <v>736</v>
      </c>
    </row>
    <row r="17" spans="1:12" x14ac:dyDescent="0.3">
      <c r="A17" s="3">
        <v>10361</v>
      </c>
      <c r="B17" s="3">
        <v>25</v>
      </c>
      <c r="C17" s="4">
        <v>62.46</v>
      </c>
      <c r="D17" s="4">
        <v>1561.5</v>
      </c>
      <c r="E17" s="5">
        <v>38338</v>
      </c>
      <c r="F17" s="3" t="s">
        <v>81</v>
      </c>
      <c r="G17" s="3" t="s">
        <v>44</v>
      </c>
      <c r="H17" s="3" t="s">
        <v>57</v>
      </c>
      <c r="J17" s="3" t="s">
        <v>170</v>
      </c>
      <c r="K17" s="20">
        <f>SUMIF(F1:F147,"Planes",D1:D147)</f>
        <v>63983.590000000004</v>
      </c>
      <c r="L17" s="21">
        <f>SUMIF(F1:F147,"Planes",B1:B147)</f>
        <v>684</v>
      </c>
    </row>
    <row r="18" spans="1:12" x14ac:dyDescent="0.3">
      <c r="A18" s="3">
        <v>10342</v>
      </c>
      <c r="B18" s="3">
        <v>39</v>
      </c>
      <c r="C18" s="4">
        <v>40.4</v>
      </c>
      <c r="D18" s="4">
        <v>1575.6</v>
      </c>
      <c r="E18" s="5">
        <v>38315</v>
      </c>
      <c r="F18" s="3" t="s">
        <v>38</v>
      </c>
      <c r="G18" s="3" t="s">
        <v>53</v>
      </c>
      <c r="H18" s="3" t="s">
        <v>57</v>
      </c>
      <c r="J18" s="3" t="s">
        <v>171</v>
      </c>
      <c r="K18" s="20">
        <f>SUMIF(F1:F147,"Ships",D1:D147)</f>
        <v>1707.14</v>
      </c>
      <c r="L18" s="21">
        <f>SUMIF(F1:F147,"Ships",B1:B147)</f>
        <v>34</v>
      </c>
    </row>
    <row r="19" spans="1:12" x14ac:dyDescent="0.3">
      <c r="A19" s="3">
        <v>10370</v>
      </c>
      <c r="B19" s="3">
        <v>29</v>
      </c>
      <c r="C19" s="4">
        <v>57.53</v>
      </c>
      <c r="D19" s="4">
        <v>1668.37</v>
      </c>
      <c r="E19" s="5">
        <v>38372</v>
      </c>
      <c r="F19" s="3" t="s">
        <v>81</v>
      </c>
      <c r="G19" s="3" t="s">
        <v>44</v>
      </c>
      <c r="H19" s="3" t="s">
        <v>57</v>
      </c>
      <c r="J19" s="19" t="s">
        <v>163</v>
      </c>
      <c r="K19" s="22">
        <f>SUM(D2:D147)</f>
        <v>505111.52000000014</v>
      </c>
      <c r="L19" s="23">
        <f>SUM(L13:L18)</f>
        <v>4976</v>
      </c>
    </row>
    <row r="20" spans="1:12" x14ac:dyDescent="0.3">
      <c r="A20" s="3">
        <v>10342</v>
      </c>
      <c r="B20" s="3">
        <v>25</v>
      </c>
      <c r="C20" s="4">
        <v>66.739999999999995</v>
      </c>
      <c r="D20" s="4">
        <v>1668.5</v>
      </c>
      <c r="E20" s="5">
        <v>38315</v>
      </c>
      <c r="F20" s="3" t="s">
        <v>38</v>
      </c>
      <c r="G20" s="3" t="s">
        <v>53</v>
      </c>
      <c r="H20" s="3" t="s">
        <v>57</v>
      </c>
    </row>
    <row r="21" spans="1:12" x14ac:dyDescent="0.3">
      <c r="A21" s="3">
        <v>10391</v>
      </c>
      <c r="B21" s="3">
        <v>44</v>
      </c>
      <c r="C21" s="4">
        <v>38.5</v>
      </c>
      <c r="D21" s="4">
        <v>1694</v>
      </c>
      <c r="E21" s="5">
        <v>38420</v>
      </c>
      <c r="F21" s="3" t="s">
        <v>69</v>
      </c>
      <c r="G21" s="3" t="s">
        <v>53</v>
      </c>
      <c r="H21" s="3" t="s">
        <v>37</v>
      </c>
    </row>
    <row r="22" spans="1:12" x14ac:dyDescent="0.3">
      <c r="A22" s="3">
        <v>10223</v>
      </c>
      <c r="B22" s="3">
        <v>28</v>
      </c>
      <c r="C22" s="4">
        <v>60.57</v>
      </c>
      <c r="D22" s="4">
        <v>1695.96</v>
      </c>
      <c r="E22" s="5">
        <v>38037</v>
      </c>
      <c r="F22" s="3" t="s">
        <v>38</v>
      </c>
      <c r="G22" s="3" t="s">
        <v>53</v>
      </c>
      <c r="H22" s="3" t="s">
        <v>57</v>
      </c>
    </row>
    <row r="23" spans="1:12" x14ac:dyDescent="0.3">
      <c r="A23" s="3">
        <v>10169</v>
      </c>
      <c r="B23" s="3">
        <v>34</v>
      </c>
      <c r="C23" s="4">
        <v>50.21</v>
      </c>
      <c r="D23" s="4">
        <v>1707.14</v>
      </c>
      <c r="E23" s="5">
        <v>37929</v>
      </c>
      <c r="F23" s="3" t="s">
        <v>130</v>
      </c>
      <c r="G23" s="3" t="s">
        <v>44</v>
      </c>
      <c r="H23" s="3" t="s">
        <v>57</v>
      </c>
    </row>
    <row r="24" spans="1:12" x14ac:dyDescent="0.3">
      <c r="A24" s="3">
        <v>10223</v>
      </c>
      <c r="B24" s="3">
        <v>23</v>
      </c>
      <c r="C24" s="4">
        <v>74.62</v>
      </c>
      <c r="D24" s="4">
        <v>1716.26</v>
      </c>
      <c r="E24" s="5">
        <v>38037</v>
      </c>
      <c r="F24" s="3" t="s">
        <v>81</v>
      </c>
      <c r="G24" s="3" t="s">
        <v>30</v>
      </c>
      <c r="H24" s="3" t="s">
        <v>57</v>
      </c>
    </row>
    <row r="25" spans="1:12" x14ac:dyDescent="0.3">
      <c r="A25" s="3">
        <v>10391</v>
      </c>
      <c r="B25" s="3">
        <v>37</v>
      </c>
      <c r="C25" s="4">
        <v>46.9</v>
      </c>
      <c r="D25" s="4">
        <v>1735.3</v>
      </c>
      <c r="E25" s="5">
        <v>38420</v>
      </c>
      <c r="F25" s="3" t="s">
        <v>81</v>
      </c>
      <c r="G25" s="3" t="s">
        <v>30</v>
      </c>
      <c r="H25" s="3" t="s">
        <v>57</v>
      </c>
    </row>
    <row r="26" spans="1:12" x14ac:dyDescent="0.3">
      <c r="A26" s="3">
        <v>10223</v>
      </c>
      <c r="B26" s="3">
        <v>26</v>
      </c>
      <c r="C26" s="4">
        <v>67.2</v>
      </c>
      <c r="D26" s="4">
        <v>1747.2</v>
      </c>
      <c r="E26" s="5">
        <v>38037</v>
      </c>
      <c r="F26" s="3" t="s">
        <v>81</v>
      </c>
      <c r="G26" s="3" t="s">
        <v>30</v>
      </c>
      <c r="H26" s="3" t="s">
        <v>37</v>
      </c>
    </row>
    <row r="27" spans="1:12" x14ac:dyDescent="0.3">
      <c r="A27" s="3">
        <v>10139</v>
      </c>
      <c r="B27" s="3">
        <v>20</v>
      </c>
      <c r="C27" s="4">
        <v>90.06</v>
      </c>
      <c r="D27" s="4">
        <v>1801.2</v>
      </c>
      <c r="E27" s="5">
        <v>37818</v>
      </c>
      <c r="F27" s="3" t="s">
        <v>38</v>
      </c>
      <c r="G27" s="3" t="s">
        <v>53</v>
      </c>
      <c r="H27" s="3" t="s">
        <v>37</v>
      </c>
    </row>
    <row r="28" spans="1:12" x14ac:dyDescent="0.3">
      <c r="A28" s="3">
        <v>10223</v>
      </c>
      <c r="B28" s="3">
        <v>41</v>
      </c>
      <c r="C28" s="4">
        <v>46.26</v>
      </c>
      <c r="D28" s="4">
        <v>1896.66</v>
      </c>
      <c r="E28" s="5">
        <v>38037</v>
      </c>
      <c r="F28" s="3" t="s">
        <v>69</v>
      </c>
      <c r="G28" s="3" t="s">
        <v>30</v>
      </c>
      <c r="H28" s="3" t="s">
        <v>57</v>
      </c>
    </row>
    <row r="29" spans="1:12" x14ac:dyDescent="0.3">
      <c r="A29" s="3">
        <v>10420</v>
      </c>
      <c r="B29" s="3">
        <v>36</v>
      </c>
      <c r="C29" s="4">
        <v>57.73</v>
      </c>
      <c r="D29" s="4">
        <v>2078.2800000000002</v>
      </c>
      <c r="E29" s="5">
        <v>38501</v>
      </c>
      <c r="F29" s="3" t="s">
        <v>38</v>
      </c>
      <c r="G29" s="3" t="s">
        <v>30</v>
      </c>
      <c r="H29" s="3" t="s">
        <v>57</v>
      </c>
    </row>
    <row r="30" spans="1:12" x14ac:dyDescent="0.3">
      <c r="A30" s="3">
        <v>10120</v>
      </c>
      <c r="B30" s="3">
        <v>29</v>
      </c>
      <c r="C30" s="4">
        <v>71.81</v>
      </c>
      <c r="D30" s="4">
        <v>2082.4899999999998</v>
      </c>
      <c r="E30" s="5">
        <v>37740</v>
      </c>
      <c r="F30" s="3" t="s">
        <v>38</v>
      </c>
      <c r="G30" s="3" t="s">
        <v>53</v>
      </c>
      <c r="H30" s="3" t="s">
        <v>57</v>
      </c>
    </row>
    <row r="31" spans="1:12" x14ac:dyDescent="0.3">
      <c r="A31" s="3">
        <v>10347</v>
      </c>
      <c r="B31" s="3">
        <v>42</v>
      </c>
      <c r="C31" s="4">
        <v>49.6</v>
      </c>
      <c r="D31" s="4">
        <v>2083.1999999999998</v>
      </c>
      <c r="E31" s="5">
        <v>38320</v>
      </c>
      <c r="F31" s="3" t="s">
        <v>24</v>
      </c>
      <c r="G31" s="3" t="s">
        <v>44</v>
      </c>
      <c r="H31" s="3" t="s">
        <v>57</v>
      </c>
    </row>
    <row r="32" spans="1:12" x14ac:dyDescent="0.3">
      <c r="A32" s="3">
        <v>10120</v>
      </c>
      <c r="B32" s="3">
        <v>29</v>
      </c>
      <c r="C32" s="4">
        <v>72.23</v>
      </c>
      <c r="D32" s="4">
        <v>2094.67</v>
      </c>
      <c r="E32" s="5">
        <v>37740</v>
      </c>
      <c r="F32" s="3" t="s">
        <v>69</v>
      </c>
      <c r="G32" s="3" t="s">
        <v>30</v>
      </c>
      <c r="H32" s="3" t="s">
        <v>57</v>
      </c>
    </row>
    <row r="33" spans="1:8" x14ac:dyDescent="0.3">
      <c r="A33" s="3">
        <v>10139</v>
      </c>
      <c r="B33" s="3">
        <v>49</v>
      </c>
      <c r="C33" s="4">
        <v>43.13</v>
      </c>
      <c r="D33" s="4">
        <v>2113.37</v>
      </c>
      <c r="E33" s="5">
        <v>37818</v>
      </c>
      <c r="F33" s="3" t="s">
        <v>69</v>
      </c>
      <c r="G33" s="3" t="s">
        <v>30</v>
      </c>
      <c r="H33" s="3" t="s">
        <v>57</v>
      </c>
    </row>
    <row r="34" spans="1:8" x14ac:dyDescent="0.3">
      <c r="A34" s="3">
        <v>10370</v>
      </c>
      <c r="B34" s="3">
        <v>22</v>
      </c>
      <c r="C34" s="4">
        <v>96.86</v>
      </c>
      <c r="D34" s="4">
        <v>2130.92</v>
      </c>
      <c r="E34" s="5">
        <v>38372</v>
      </c>
      <c r="F34" s="3" t="s">
        <v>24</v>
      </c>
      <c r="G34" s="3" t="s">
        <v>30</v>
      </c>
      <c r="H34" s="3" t="s">
        <v>57</v>
      </c>
    </row>
    <row r="35" spans="1:8" x14ac:dyDescent="0.3">
      <c r="A35" s="3">
        <v>10361</v>
      </c>
      <c r="B35" s="3">
        <v>23</v>
      </c>
      <c r="C35" s="4">
        <v>95.2</v>
      </c>
      <c r="D35" s="4">
        <v>2189.6</v>
      </c>
      <c r="E35" s="5">
        <v>38338</v>
      </c>
      <c r="F35" s="3" t="s">
        <v>38</v>
      </c>
      <c r="G35" s="3" t="s">
        <v>44</v>
      </c>
      <c r="H35" s="3" t="s">
        <v>57</v>
      </c>
    </row>
    <row r="36" spans="1:8" x14ac:dyDescent="0.3">
      <c r="A36" s="3">
        <v>10347</v>
      </c>
      <c r="B36" s="3">
        <v>34</v>
      </c>
      <c r="C36" s="4">
        <v>64.959999999999994</v>
      </c>
      <c r="D36" s="4">
        <v>2208.64</v>
      </c>
      <c r="E36" s="5">
        <v>38320</v>
      </c>
      <c r="F36" s="3" t="s">
        <v>81</v>
      </c>
      <c r="G36" s="3" t="s">
        <v>44</v>
      </c>
      <c r="H36" s="3" t="s">
        <v>57</v>
      </c>
    </row>
    <row r="37" spans="1:8" x14ac:dyDescent="0.3">
      <c r="A37" s="3">
        <v>10420</v>
      </c>
      <c r="B37" s="3">
        <v>37</v>
      </c>
      <c r="C37" s="4">
        <v>60.37</v>
      </c>
      <c r="D37" s="4">
        <v>2233.69</v>
      </c>
      <c r="E37" s="5">
        <v>38501</v>
      </c>
      <c r="F37" s="3" t="s">
        <v>81</v>
      </c>
      <c r="G37" s="3" t="s">
        <v>30</v>
      </c>
      <c r="H37" s="3" t="s">
        <v>57</v>
      </c>
    </row>
    <row r="38" spans="1:8" x14ac:dyDescent="0.3">
      <c r="A38" s="3">
        <v>10169</v>
      </c>
      <c r="B38" s="3">
        <v>32</v>
      </c>
      <c r="C38" s="4">
        <v>70.760000000000005</v>
      </c>
      <c r="D38" s="4">
        <v>2264.3200000000002</v>
      </c>
      <c r="E38" s="5">
        <v>37929</v>
      </c>
      <c r="F38" s="3" t="s">
        <v>38</v>
      </c>
      <c r="G38" s="3" t="s">
        <v>30</v>
      </c>
      <c r="H38" s="3" t="s">
        <v>37</v>
      </c>
    </row>
    <row r="39" spans="1:8" x14ac:dyDescent="0.3">
      <c r="A39" s="3">
        <v>10169</v>
      </c>
      <c r="B39" s="3">
        <v>24</v>
      </c>
      <c r="C39" s="4">
        <v>94.58</v>
      </c>
      <c r="D39" s="4">
        <v>2269.92</v>
      </c>
      <c r="E39" s="5">
        <v>37929</v>
      </c>
      <c r="F39" s="3" t="s">
        <v>63</v>
      </c>
      <c r="G39" s="3" t="s">
        <v>53</v>
      </c>
      <c r="H39" s="3" t="s">
        <v>37</v>
      </c>
    </row>
    <row r="40" spans="1:8" x14ac:dyDescent="0.3">
      <c r="A40" s="3">
        <v>10148</v>
      </c>
      <c r="B40" s="3">
        <v>31</v>
      </c>
      <c r="C40" s="4">
        <v>73.62</v>
      </c>
      <c r="D40" s="4">
        <v>2282.2199999999998</v>
      </c>
      <c r="E40" s="5">
        <v>37875</v>
      </c>
      <c r="F40" s="3" t="s">
        <v>38</v>
      </c>
      <c r="G40" s="3" t="s">
        <v>53</v>
      </c>
      <c r="H40" s="3" t="s">
        <v>37</v>
      </c>
    </row>
    <row r="41" spans="1:8" x14ac:dyDescent="0.3">
      <c r="A41" s="3">
        <v>10420</v>
      </c>
      <c r="B41" s="3">
        <v>36</v>
      </c>
      <c r="C41" s="4">
        <v>63.57</v>
      </c>
      <c r="D41" s="4">
        <v>2288.52</v>
      </c>
      <c r="E41" s="5">
        <v>38501</v>
      </c>
      <c r="F41" s="3" t="s">
        <v>38</v>
      </c>
      <c r="G41" s="3" t="s">
        <v>53</v>
      </c>
      <c r="H41" s="3" t="s">
        <v>57</v>
      </c>
    </row>
    <row r="42" spans="1:8" x14ac:dyDescent="0.3">
      <c r="A42" s="3">
        <v>10370</v>
      </c>
      <c r="B42" s="3">
        <v>35</v>
      </c>
      <c r="C42" s="4">
        <v>65.63</v>
      </c>
      <c r="D42" s="4">
        <v>2297.0500000000002</v>
      </c>
      <c r="E42" s="5">
        <v>38372</v>
      </c>
      <c r="F42" s="3" t="s">
        <v>38</v>
      </c>
      <c r="G42" s="3" t="s">
        <v>53</v>
      </c>
      <c r="H42" s="3" t="s">
        <v>37</v>
      </c>
    </row>
    <row r="43" spans="1:8" x14ac:dyDescent="0.3">
      <c r="A43" s="3">
        <v>10169</v>
      </c>
      <c r="B43" s="3">
        <v>36</v>
      </c>
      <c r="C43" s="4">
        <v>63.84</v>
      </c>
      <c r="D43" s="4">
        <v>2298.2399999999998</v>
      </c>
      <c r="E43" s="5">
        <v>37929</v>
      </c>
      <c r="F43" s="3" t="s">
        <v>63</v>
      </c>
      <c r="G43" s="3" t="s">
        <v>44</v>
      </c>
      <c r="H43" s="3" t="s">
        <v>37</v>
      </c>
    </row>
    <row r="44" spans="1:8" x14ac:dyDescent="0.3">
      <c r="A44" s="3">
        <v>10148</v>
      </c>
      <c r="B44" s="3">
        <v>29</v>
      </c>
      <c r="C44" s="4">
        <v>81.25</v>
      </c>
      <c r="D44" s="4">
        <v>2356.25</v>
      </c>
      <c r="E44" s="5">
        <v>37875</v>
      </c>
      <c r="F44" s="3" t="s">
        <v>24</v>
      </c>
      <c r="G44" s="3" t="s">
        <v>30</v>
      </c>
      <c r="H44" s="3" t="s">
        <v>57</v>
      </c>
    </row>
    <row r="45" spans="1:8" x14ac:dyDescent="0.3">
      <c r="A45" s="3">
        <v>10391</v>
      </c>
      <c r="B45" s="3">
        <v>24</v>
      </c>
      <c r="C45" s="4">
        <v>100</v>
      </c>
      <c r="D45" s="4">
        <v>2416.56</v>
      </c>
      <c r="E45" s="5">
        <v>38420</v>
      </c>
      <c r="F45" s="3" t="s">
        <v>38</v>
      </c>
      <c r="G45" s="3" t="s">
        <v>53</v>
      </c>
      <c r="H45" s="3" t="s">
        <v>37</v>
      </c>
    </row>
    <row r="46" spans="1:8" x14ac:dyDescent="0.3">
      <c r="A46" s="3">
        <v>10120</v>
      </c>
      <c r="B46" s="3">
        <v>22</v>
      </c>
      <c r="C46" s="4">
        <v>100</v>
      </c>
      <c r="D46" s="4">
        <v>2461.36</v>
      </c>
      <c r="E46" s="5">
        <v>37740</v>
      </c>
      <c r="F46" s="3" t="s">
        <v>24</v>
      </c>
      <c r="G46" s="3" t="s">
        <v>30</v>
      </c>
      <c r="H46" s="3" t="s">
        <v>57</v>
      </c>
    </row>
    <row r="47" spans="1:8" x14ac:dyDescent="0.3">
      <c r="A47" s="3">
        <v>10391</v>
      </c>
      <c r="B47" s="3">
        <v>39</v>
      </c>
      <c r="C47" s="4">
        <v>63.2</v>
      </c>
      <c r="D47" s="4">
        <v>2464.8000000000002</v>
      </c>
      <c r="E47" s="5">
        <v>38420</v>
      </c>
      <c r="F47" s="3" t="s">
        <v>24</v>
      </c>
      <c r="G47" s="3" t="s">
        <v>30</v>
      </c>
      <c r="H47" s="3" t="s">
        <v>57</v>
      </c>
    </row>
    <row r="48" spans="1:8" x14ac:dyDescent="0.3">
      <c r="A48" s="3">
        <v>10391</v>
      </c>
      <c r="B48" s="3">
        <v>29</v>
      </c>
      <c r="C48" s="4">
        <v>85.1</v>
      </c>
      <c r="D48" s="4">
        <v>2467.9</v>
      </c>
      <c r="E48" s="5">
        <v>38420</v>
      </c>
      <c r="F48" s="3" t="s">
        <v>63</v>
      </c>
      <c r="G48" s="3" t="s">
        <v>30</v>
      </c>
      <c r="H48" s="3" t="s">
        <v>37</v>
      </c>
    </row>
    <row r="49" spans="1:8" x14ac:dyDescent="0.3">
      <c r="A49" s="3">
        <v>10223</v>
      </c>
      <c r="B49" s="3">
        <v>21</v>
      </c>
      <c r="C49" s="4">
        <v>100</v>
      </c>
      <c r="D49" s="4">
        <v>2475.27</v>
      </c>
      <c r="E49" s="5">
        <v>38037</v>
      </c>
      <c r="F49" s="3" t="s">
        <v>24</v>
      </c>
      <c r="G49" s="3" t="s">
        <v>30</v>
      </c>
      <c r="H49" s="3" t="s">
        <v>57</v>
      </c>
    </row>
    <row r="50" spans="1:8" x14ac:dyDescent="0.3">
      <c r="A50" s="3">
        <v>10120</v>
      </c>
      <c r="B50" s="3">
        <v>29</v>
      </c>
      <c r="C50" s="4">
        <v>85.49</v>
      </c>
      <c r="D50" s="4">
        <v>2479.21</v>
      </c>
      <c r="E50" s="5">
        <v>37740</v>
      </c>
      <c r="F50" s="3" t="s">
        <v>81</v>
      </c>
      <c r="G50" s="3" t="s">
        <v>30</v>
      </c>
      <c r="H50" s="3" t="s">
        <v>57</v>
      </c>
    </row>
    <row r="51" spans="1:8" x14ac:dyDescent="0.3">
      <c r="A51" s="3">
        <v>10120</v>
      </c>
      <c r="B51" s="3">
        <v>49</v>
      </c>
      <c r="C51" s="4">
        <v>50.62</v>
      </c>
      <c r="D51" s="4">
        <v>2480.38</v>
      </c>
      <c r="E51" s="5">
        <v>37740</v>
      </c>
      <c r="F51" s="3" t="s">
        <v>69</v>
      </c>
      <c r="G51" s="3" t="s">
        <v>30</v>
      </c>
      <c r="H51" s="3" t="s">
        <v>57</v>
      </c>
    </row>
    <row r="52" spans="1:8" x14ac:dyDescent="0.3">
      <c r="A52" s="3">
        <v>10223</v>
      </c>
      <c r="B52" s="3">
        <v>25</v>
      </c>
      <c r="C52" s="4">
        <v>100</v>
      </c>
      <c r="D52" s="4">
        <v>2534.75</v>
      </c>
      <c r="E52" s="5">
        <v>38037</v>
      </c>
      <c r="F52" s="3" t="s">
        <v>81</v>
      </c>
      <c r="G52" s="3" t="s">
        <v>30</v>
      </c>
      <c r="H52" s="3" t="s">
        <v>57</v>
      </c>
    </row>
    <row r="53" spans="1:8" x14ac:dyDescent="0.3">
      <c r="A53" s="3">
        <v>10270</v>
      </c>
      <c r="B53" s="3">
        <v>44</v>
      </c>
      <c r="C53" s="4">
        <v>58.36</v>
      </c>
      <c r="D53" s="4">
        <v>2567.84</v>
      </c>
      <c r="E53" s="5">
        <v>38187</v>
      </c>
      <c r="F53" s="3" t="s">
        <v>63</v>
      </c>
      <c r="G53" s="3" t="s">
        <v>53</v>
      </c>
      <c r="H53" s="3" t="s">
        <v>57</v>
      </c>
    </row>
    <row r="54" spans="1:8" x14ac:dyDescent="0.3">
      <c r="A54" s="3">
        <v>10120</v>
      </c>
      <c r="B54" s="3">
        <v>24</v>
      </c>
      <c r="C54" s="4">
        <v>100</v>
      </c>
      <c r="D54" s="4">
        <v>2584.8000000000002</v>
      </c>
      <c r="E54" s="5">
        <v>37740</v>
      </c>
      <c r="F54" s="3" t="s">
        <v>81</v>
      </c>
      <c r="G54" s="3" t="s">
        <v>30</v>
      </c>
      <c r="H54" s="3" t="s">
        <v>57</v>
      </c>
    </row>
    <row r="55" spans="1:8" x14ac:dyDescent="0.3">
      <c r="A55" s="3">
        <v>10169</v>
      </c>
      <c r="B55" s="3">
        <v>38</v>
      </c>
      <c r="C55" s="4">
        <v>68.39</v>
      </c>
      <c r="D55" s="4">
        <v>2598.8200000000002</v>
      </c>
      <c r="E55" s="5">
        <v>37929</v>
      </c>
      <c r="F55" s="3" t="s">
        <v>63</v>
      </c>
      <c r="G55" s="3" t="s">
        <v>53</v>
      </c>
      <c r="H55" s="3" t="s">
        <v>57</v>
      </c>
    </row>
    <row r="56" spans="1:8" x14ac:dyDescent="0.3">
      <c r="A56" s="3">
        <v>10420</v>
      </c>
      <c r="B56" s="3">
        <v>26</v>
      </c>
      <c r="C56" s="4">
        <v>100</v>
      </c>
      <c r="D56" s="4">
        <v>2617.16</v>
      </c>
      <c r="E56" s="5">
        <v>38501</v>
      </c>
      <c r="F56" s="3" t="s">
        <v>38</v>
      </c>
      <c r="G56" s="3" t="s">
        <v>53</v>
      </c>
      <c r="H56" s="3" t="s">
        <v>57</v>
      </c>
    </row>
    <row r="57" spans="1:8" x14ac:dyDescent="0.3">
      <c r="A57" s="3">
        <v>10223</v>
      </c>
      <c r="B57" s="3">
        <v>38</v>
      </c>
      <c r="C57" s="4">
        <v>69.31</v>
      </c>
      <c r="D57" s="4">
        <v>2633.78</v>
      </c>
      <c r="E57" s="5">
        <v>38037</v>
      </c>
      <c r="F57" s="3" t="s">
        <v>81</v>
      </c>
      <c r="G57" s="3" t="s">
        <v>30</v>
      </c>
      <c r="H57" s="3" t="s">
        <v>37</v>
      </c>
    </row>
    <row r="58" spans="1:8" x14ac:dyDescent="0.3">
      <c r="A58" s="3">
        <v>10347</v>
      </c>
      <c r="B58" s="3">
        <v>26</v>
      </c>
      <c r="C58" s="4">
        <v>100</v>
      </c>
      <c r="D58" s="4">
        <v>2656.94</v>
      </c>
      <c r="E58" s="5">
        <v>38320</v>
      </c>
      <c r="F58" s="3" t="s">
        <v>38</v>
      </c>
      <c r="G58" s="3" t="s">
        <v>30</v>
      </c>
      <c r="H58" s="3" t="s">
        <v>37</v>
      </c>
    </row>
    <row r="59" spans="1:8" x14ac:dyDescent="0.3">
      <c r="A59" s="3">
        <v>10148</v>
      </c>
      <c r="B59" s="3">
        <v>47</v>
      </c>
      <c r="C59" s="4">
        <v>56.85</v>
      </c>
      <c r="D59" s="4">
        <v>2671.95</v>
      </c>
      <c r="E59" s="5">
        <v>37875</v>
      </c>
      <c r="F59" s="3" t="s">
        <v>38</v>
      </c>
      <c r="G59" s="3" t="s">
        <v>53</v>
      </c>
      <c r="H59" s="3" t="s">
        <v>37</v>
      </c>
    </row>
    <row r="60" spans="1:8" x14ac:dyDescent="0.3">
      <c r="A60" s="3">
        <v>10120</v>
      </c>
      <c r="B60" s="3">
        <v>46</v>
      </c>
      <c r="C60" s="4">
        <v>58.15</v>
      </c>
      <c r="D60" s="4">
        <v>2674.9</v>
      </c>
      <c r="E60" s="5">
        <v>37740</v>
      </c>
      <c r="F60" s="3" t="s">
        <v>38</v>
      </c>
      <c r="G60" s="3" t="s">
        <v>30</v>
      </c>
      <c r="H60" s="3" t="s">
        <v>37</v>
      </c>
    </row>
    <row r="61" spans="1:8" x14ac:dyDescent="0.3">
      <c r="A61" s="3">
        <v>10148</v>
      </c>
      <c r="B61" s="3">
        <v>23</v>
      </c>
      <c r="C61" s="4">
        <v>100</v>
      </c>
      <c r="D61" s="4">
        <v>2702.04</v>
      </c>
      <c r="E61" s="5">
        <v>37875</v>
      </c>
      <c r="F61" s="3" t="s">
        <v>69</v>
      </c>
      <c r="G61" s="3" t="s">
        <v>44</v>
      </c>
      <c r="H61" s="3" t="s">
        <v>37</v>
      </c>
    </row>
    <row r="62" spans="1:8" x14ac:dyDescent="0.3">
      <c r="A62" s="3">
        <v>10361</v>
      </c>
      <c r="B62" s="3">
        <v>33</v>
      </c>
      <c r="C62" s="4">
        <v>82.59</v>
      </c>
      <c r="D62" s="4">
        <v>2725.47</v>
      </c>
      <c r="E62" s="5">
        <v>38338</v>
      </c>
      <c r="F62" s="3" t="s">
        <v>69</v>
      </c>
      <c r="G62" s="3" t="s">
        <v>44</v>
      </c>
      <c r="H62" s="3" t="s">
        <v>57</v>
      </c>
    </row>
    <row r="63" spans="1:8" x14ac:dyDescent="0.3">
      <c r="A63" s="3">
        <v>10370</v>
      </c>
      <c r="B63" s="3">
        <v>20</v>
      </c>
      <c r="C63" s="4">
        <v>100</v>
      </c>
      <c r="D63" s="4">
        <v>2730</v>
      </c>
      <c r="E63" s="5">
        <v>38372</v>
      </c>
      <c r="F63" s="3" t="s">
        <v>69</v>
      </c>
      <c r="G63" s="3" t="s">
        <v>44</v>
      </c>
      <c r="H63" s="3" t="s">
        <v>37</v>
      </c>
    </row>
    <row r="64" spans="1:8" x14ac:dyDescent="0.3">
      <c r="A64" s="3">
        <v>10270</v>
      </c>
      <c r="B64" s="3">
        <v>32</v>
      </c>
      <c r="C64" s="4">
        <v>85.72</v>
      </c>
      <c r="D64" s="4">
        <v>2743.04</v>
      </c>
      <c r="E64" s="5">
        <v>38187</v>
      </c>
      <c r="F64" s="3" t="s">
        <v>63</v>
      </c>
      <c r="G64" s="3" t="s">
        <v>44</v>
      </c>
      <c r="H64" s="3" t="s">
        <v>57</v>
      </c>
    </row>
    <row r="65" spans="1:8" x14ac:dyDescent="0.3">
      <c r="A65" s="3">
        <v>10361</v>
      </c>
      <c r="B65" s="3">
        <v>26</v>
      </c>
      <c r="C65" s="4">
        <v>100</v>
      </c>
      <c r="D65" s="4">
        <v>2754.7</v>
      </c>
      <c r="E65" s="5">
        <v>38338</v>
      </c>
      <c r="F65" s="3" t="s">
        <v>69</v>
      </c>
      <c r="G65" s="3" t="s">
        <v>44</v>
      </c>
      <c r="H65" s="3" t="s">
        <v>57</v>
      </c>
    </row>
    <row r="66" spans="1:8" x14ac:dyDescent="0.3">
      <c r="A66" s="3">
        <v>10120</v>
      </c>
      <c r="B66" s="3">
        <v>29</v>
      </c>
      <c r="C66" s="4">
        <v>96.34</v>
      </c>
      <c r="D66" s="4">
        <v>2793.86</v>
      </c>
      <c r="E66" s="5">
        <v>37740</v>
      </c>
      <c r="F66" s="3" t="s">
        <v>38</v>
      </c>
      <c r="G66" s="3" t="s">
        <v>53</v>
      </c>
      <c r="H66" s="3" t="s">
        <v>57</v>
      </c>
    </row>
    <row r="67" spans="1:8" x14ac:dyDescent="0.3">
      <c r="A67" s="3">
        <v>10169</v>
      </c>
      <c r="B67" s="3">
        <v>38</v>
      </c>
      <c r="C67" s="4">
        <v>74.11</v>
      </c>
      <c r="D67" s="4">
        <v>2816.18</v>
      </c>
      <c r="E67" s="5">
        <v>37929</v>
      </c>
      <c r="F67" s="3" t="s">
        <v>38</v>
      </c>
      <c r="G67" s="3" t="s">
        <v>44</v>
      </c>
      <c r="H67" s="3" t="s">
        <v>37</v>
      </c>
    </row>
    <row r="68" spans="1:8" x14ac:dyDescent="0.3">
      <c r="A68" s="3">
        <v>10120</v>
      </c>
      <c r="B68" s="3">
        <v>34</v>
      </c>
      <c r="C68" s="4">
        <v>83.79</v>
      </c>
      <c r="D68" s="4">
        <v>2848.86</v>
      </c>
      <c r="E68" s="5">
        <v>37740</v>
      </c>
      <c r="F68" s="3" t="s">
        <v>69</v>
      </c>
      <c r="G68" s="3" t="s">
        <v>30</v>
      </c>
      <c r="H68" s="3" t="s">
        <v>37</v>
      </c>
    </row>
    <row r="69" spans="1:8" x14ac:dyDescent="0.3">
      <c r="A69" s="3">
        <v>10223</v>
      </c>
      <c r="B69" s="3">
        <v>32</v>
      </c>
      <c r="C69" s="4">
        <v>91.29</v>
      </c>
      <c r="D69" s="4">
        <v>2921.28</v>
      </c>
      <c r="E69" s="5">
        <v>38037</v>
      </c>
      <c r="F69" s="3" t="s">
        <v>69</v>
      </c>
      <c r="G69" s="3" t="s">
        <v>53</v>
      </c>
      <c r="H69" s="3" t="s">
        <v>57</v>
      </c>
    </row>
    <row r="70" spans="1:8" x14ac:dyDescent="0.3">
      <c r="A70" s="3">
        <v>10270</v>
      </c>
      <c r="B70" s="3">
        <v>31</v>
      </c>
      <c r="C70" s="4">
        <v>96.24</v>
      </c>
      <c r="D70" s="4">
        <v>2983.44</v>
      </c>
      <c r="E70" s="5">
        <v>38187</v>
      </c>
      <c r="F70" s="3" t="s">
        <v>38</v>
      </c>
      <c r="G70" s="3" t="s">
        <v>53</v>
      </c>
      <c r="H70" s="3" t="s">
        <v>37</v>
      </c>
    </row>
    <row r="71" spans="1:8" x14ac:dyDescent="0.3">
      <c r="A71" s="3">
        <v>10342</v>
      </c>
      <c r="B71" s="3">
        <v>48</v>
      </c>
      <c r="C71" s="4">
        <v>62.45</v>
      </c>
      <c r="D71" s="4">
        <v>2997.6</v>
      </c>
      <c r="E71" s="5">
        <v>38315</v>
      </c>
      <c r="F71" s="3" t="s">
        <v>38</v>
      </c>
      <c r="G71" s="3" t="s">
        <v>53</v>
      </c>
      <c r="H71" s="3" t="s">
        <v>57</v>
      </c>
    </row>
    <row r="72" spans="1:8" x14ac:dyDescent="0.3">
      <c r="A72" s="3">
        <v>10139</v>
      </c>
      <c r="B72" s="3">
        <v>30</v>
      </c>
      <c r="C72" s="4">
        <v>100</v>
      </c>
      <c r="D72" s="4">
        <v>3095.4</v>
      </c>
      <c r="E72" s="5">
        <v>37818</v>
      </c>
      <c r="F72" s="3" t="s">
        <v>24</v>
      </c>
      <c r="G72" s="3" t="s">
        <v>30</v>
      </c>
      <c r="H72" s="3" t="s">
        <v>57</v>
      </c>
    </row>
    <row r="73" spans="1:8" x14ac:dyDescent="0.3">
      <c r="A73" s="3">
        <v>10370</v>
      </c>
      <c r="B73" s="3">
        <v>25</v>
      </c>
      <c r="C73" s="4">
        <v>100</v>
      </c>
      <c r="D73" s="4">
        <v>3160.25</v>
      </c>
      <c r="E73" s="5">
        <v>38372</v>
      </c>
      <c r="F73" s="3" t="s">
        <v>63</v>
      </c>
      <c r="G73" s="3" t="s">
        <v>53</v>
      </c>
      <c r="H73" s="3" t="s">
        <v>37</v>
      </c>
    </row>
    <row r="74" spans="1:8" x14ac:dyDescent="0.3">
      <c r="A74" s="3">
        <v>10342</v>
      </c>
      <c r="B74" s="3">
        <v>22</v>
      </c>
      <c r="C74" s="4">
        <v>100</v>
      </c>
      <c r="D74" s="4">
        <v>3160.74</v>
      </c>
      <c r="E74" s="5">
        <v>38315</v>
      </c>
      <c r="F74" s="3" t="s">
        <v>38</v>
      </c>
      <c r="G74" s="3" t="s">
        <v>53</v>
      </c>
      <c r="H74" s="3" t="s">
        <v>37</v>
      </c>
    </row>
    <row r="75" spans="1:8" x14ac:dyDescent="0.3">
      <c r="A75" s="3">
        <v>10139</v>
      </c>
      <c r="B75" s="3">
        <v>31</v>
      </c>
      <c r="C75" s="4">
        <v>100</v>
      </c>
      <c r="D75" s="4">
        <v>3184.94</v>
      </c>
      <c r="E75" s="5">
        <v>37818</v>
      </c>
      <c r="F75" s="3" t="s">
        <v>69</v>
      </c>
      <c r="G75" s="3" t="s">
        <v>53</v>
      </c>
      <c r="H75" s="3" t="s">
        <v>60</v>
      </c>
    </row>
    <row r="76" spans="1:8" x14ac:dyDescent="0.3">
      <c r="A76" s="3">
        <v>10361</v>
      </c>
      <c r="B76" s="3">
        <v>44</v>
      </c>
      <c r="C76" s="4">
        <v>72.42</v>
      </c>
      <c r="D76" s="4">
        <v>3186.48</v>
      </c>
      <c r="E76" s="5">
        <v>38338</v>
      </c>
      <c r="F76" s="3" t="s">
        <v>69</v>
      </c>
      <c r="G76" s="3" t="s">
        <v>30</v>
      </c>
      <c r="H76" s="3" t="s">
        <v>37</v>
      </c>
    </row>
    <row r="77" spans="1:8" x14ac:dyDescent="0.3">
      <c r="A77" s="3">
        <v>10223</v>
      </c>
      <c r="B77" s="3">
        <v>29</v>
      </c>
      <c r="C77" s="4">
        <v>100</v>
      </c>
      <c r="D77" s="4">
        <v>3199.86</v>
      </c>
      <c r="E77" s="5">
        <v>38037</v>
      </c>
      <c r="F77" s="3" t="s">
        <v>69</v>
      </c>
      <c r="G77" s="3" t="s">
        <v>30</v>
      </c>
      <c r="H77" s="3" t="s">
        <v>57</v>
      </c>
    </row>
    <row r="78" spans="1:8" x14ac:dyDescent="0.3">
      <c r="A78" s="3">
        <v>10125</v>
      </c>
      <c r="B78" s="3">
        <v>32</v>
      </c>
      <c r="C78" s="4">
        <v>100</v>
      </c>
      <c r="D78" s="4">
        <v>3254.72</v>
      </c>
      <c r="E78" s="5">
        <v>37762</v>
      </c>
      <c r="F78" s="3" t="s">
        <v>69</v>
      </c>
      <c r="G78" s="3" t="s">
        <v>53</v>
      </c>
      <c r="H78" s="3" t="s">
        <v>37</v>
      </c>
    </row>
    <row r="79" spans="1:8" x14ac:dyDescent="0.3">
      <c r="A79" s="3">
        <v>10120</v>
      </c>
      <c r="B79" s="3">
        <v>43</v>
      </c>
      <c r="C79" s="4">
        <v>76</v>
      </c>
      <c r="D79" s="4">
        <v>3268</v>
      </c>
      <c r="E79" s="5">
        <v>37740</v>
      </c>
      <c r="F79" s="3" t="s">
        <v>81</v>
      </c>
      <c r="G79" s="3" t="s">
        <v>30</v>
      </c>
      <c r="H79" s="3" t="s">
        <v>37</v>
      </c>
    </row>
    <row r="80" spans="1:8" x14ac:dyDescent="0.3">
      <c r="A80" s="3">
        <v>10139</v>
      </c>
      <c r="B80" s="3">
        <v>29</v>
      </c>
      <c r="C80" s="4">
        <v>100</v>
      </c>
      <c r="D80" s="4">
        <v>3276.13</v>
      </c>
      <c r="E80" s="5">
        <v>37818</v>
      </c>
      <c r="F80" s="3" t="s">
        <v>69</v>
      </c>
      <c r="G80" s="3" t="s">
        <v>44</v>
      </c>
      <c r="H80" s="3" t="s">
        <v>37</v>
      </c>
    </row>
    <row r="81" spans="1:8" x14ac:dyDescent="0.3">
      <c r="A81" s="3">
        <v>10420</v>
      </c>
      <c r="B81" s="3">
        <v>35</v>
      </c>
      <c r="C81" s="4">
        <v>96.74</v>
      </c>
      <c r="D81" s="4">
        <v>3385.9</v>
      </c>
      <c r="E81" s="5">
        <v>38501</v>
      </c>
      <c r="F81" s="3" t="s">
        <v>24</v>
      </c>
      <c r="G81" s="3" t="s">
        <v>30</v>
      </c>
      <c r="H81" s="3" t="s">
        <v>57</v>
      </c>
    </row>
    <row r="82" spans="1:8" x14ac:dyDescent="0.3">
      <c r="A82" s="3">
        <v>10120</v>
      </c>
      <c r="B82" s="3">
        <v>24</v>
      </c>
      <c r="C82" s="4">
        <v>100</v>
      </c>
      <c r="D82" s="4">
        <v>3417.12</v>
      </c>
      <c r="E82" s="5">
        <v>37740</v>
      </c>
      <c r="F82" s="3" t="s">
        <v>38</v>
      </c>
      <c r="G82" s="3" t="s">
        <v>53</v>
      </c>
      <c r="H82" s="3" t="s">
        <v>37</v>
      </c>
    </row>
    <row r="83" spans="1:8" x14ac:dyDescent="0.3">
      <c r="A83" s="3">
        <v>10120</v>
      </c>
      <c r="B83" s="3">
        <v>35</v>
      </c>
      <c r="C83" s="4">
        <v>98.05</v>
      </c>
      <c r="D83" s="4">
        <v>3431.75</v>
      </c>
      <c r="E83" s="5">
        <v>37740</v>
      </c>
      <c r="F83" s="3" t="s">
        <v>38</v>
      </c>
      <c r="G83" s="3" t="s">
        <v>53</v>
      </c>
      <c r="H83" s="3" t="s">
        <v>57</v>
      </c>
    </row>
    <row r="84" spans="1:8" x14ac:dyDescent="0.3">
      <c r="A84" s="3">
        <v>10148</v>
      </c>
      <c r="B84" s="3">
        <v>27</v>
      </c>
      <c r="C84" s="4">
        <v>100</v>
      </c>
      <c r="D84" s="4">
        <v>3469.5</v>
      </c>
      <c r="E84" s="5">
        <v>37875</v>
      </c>
      <c r="F84" s="3" t="s">
        <v>69</v>
      </c>
      <c r="G84" s="3" t="s">
        <v>44</v>
      </c>
      <c r="H84" s="3" t="s">
        <v>37</v>
      </c>
    </row>
    <row r="85" spans="1:8" x14ac:dyDescent="0.3">
      <c r="A85" s="3">
        <v>10148</v>
      </c>
      <c r="B85" s="3">
        <v>27</v>
      </c>
      <c r="C85" s="4">
        <v>100</v>
      </c>
      <c r="D85" s="4">
        <v>3528.36</v>
      </c>
      <c r="E85" s="5">
        <v>37875</v>
      </c>
      <c r="F85" s="3" t="s">
        <v>38</v>
      </c>
      <c r="G85" s="3" t="s">
        <v>53</v>
      </c>
      <c r="H85" s="3" t="s">
        <v>57</v>
      </c>
    </row>
    <row r="86" spans="1:8" x14ac:dyDescent="0.3">
      <c r="A86" s="3">
        <v>10361</v>
      </c>
      <c r="B86" s="3">
        <v>49</v>
      </c>
      <c r="C86" s="4">
        <v>72.33</v>
      </c>
      <c r="D86" s="4">
        <v>3544.17</v>
      </c>
      <c r="E86" s="5">
        <v>38338</v>
      </c>
      <c r="F86" s="3" t="s">
        <v>69</v>
      </c>
      <c r="G86" s="3" t="s">
        <v>44</v>
      </c>
      <c r="H86" s="3" t="s">
        <v>37</v>
      </c>
    </row>
    <row r="87" spans="1:8" x14ac:dyDescent="0.3">
      <c r="A87" s="3">
        <v>10347</v>
      </c>
      <c r="B87" s="3">
        <v>29</v>
      </c>
      <c r="C87" s="4">
        <v>100</v>
      </c>
      <c r="D87" s="4">
        <v>3586.43</v>
      </c>
      <c r="E87" s="5">
        <v>38320</v>
      </c>
      <c r="F87" s="3" t="s">
        <v>24</v>
      </c>
      <c r="G87" s="3" t="s">
        <v>53</v>
      </c>
      <c r="H87" s="3" t="s">
        <v>37</v>
      </c>
    </row>
    <row r="88" spans="1:8" x14ac:dyDescent="0.3">
      <c r="A88" s="3">
        <v>10148</v>
      </c>
      <c r="B88" s="3">
        <v>34</v>
      </c>
      <c r="C88" s="4">
        <v>100</v>
      </c>
      <c r="D88" s="4">
        <v>3598.22</v>
      </c>
      <c r="E88" s="5">
        <v>37875</v>
      </c>
      <c r="F88" s="3" t="s">
        <v>69</v>
      </c>
      <c r="G88" s="3" t="s">
        <v>53</v>
      </c>
      <c r="H88" s="3" t="s">
        <v>37</v>
      </c>
    </row>
    <row r="89" spans="1:8" x14ac:dyDescent="0.3">
      <c r="A89" s="3">
        <v>10342</v>
      </c>
      <c r="B89" s="3">
        <v>55</v>
      </c>
      <c r="C89" s="4">
        <v>65.45</v>
      </c>
      <c r="D89" s="4">
        <v>3599.75</v>
      </c>
      <c r="E89" s="5">
        <v>38315</v>
      </c>
      <c r="F89" s="3" t="s">
        <v>24</v>
      </c>
      <c r="G89" s="3" t="s">
        <v>30</v>
      </c>
      <c r="H89" s="3" t="s">
        <v>37</v>
      </c>
    </row>
    <row r="90" spans="1:8" x14ac:dyDescent="0.3">
      <c r="A90" s="3">
        <v>10223</v>
      </c>
      <c r="B90" s="3">
        <v>34</v>
      </c>
      <c r="C90" s="4">
        <v>100</v>
      </c>
      <c r="D90" s="4">
        <v>3608.76</v>
      </c>
      <c r="E90" s="5">
        <v>38037</v>
      </c>
      <c r="F90" s="3" t="s">
        <v>38</v>
      </c>
      <c r="G90" s="3" t="s">
        <v>44</v>
      </c>
      <c r="H90" s="3" t="s">
        <v>37</v>
      </c>
    </row>
    <row r="91" spans="1:8" x14ac:dyDescent="0.3">
      <c r="A91" s="3">
        <v>10148</v>
      </c>
      <c r="B91" s="3">
        <v>28</v>
      </c>
      <c r="C91" s="4">
        <v>100</v>
      </c>
      <c r="D91" s="4">
        <v>3639.44</v>
      </c>
      <c r="E91" s="5">
        <v>37875</v>
      </c>
      <c r="F91" s="3" t="s">
        <v>81</v>
      </c>
      <c r="G91" s="3" t="s">
        <v>44</v>
      </c>
      <c r="H91" s="3" t="s">
        <v>37</v>
      </c>
    </row>
    <row r="92" spans="1:8" x14ac:dyDescent="0.3">
      <c r="A92" s="3">
        <v>10361</v>
      </c>
      <c r="B92" s="3">
        <v>26</v>
      </c>
      <c r="C92" s="4">
        <v>100</v>
      </c>
      <c r="D92" s="4">
        <v>3710.98</v>
      </c>
      <c r="E92" s="5">
        <v>38338</v>
      </c>
      <c r="F92" s="3" t="s">
        <v>81</v>
      </c>
      <c r="G92" s="3" t="s">
        <v>44</v>
      </c>
      <c r="H92" s="3" t="s">
        <v>37</v>
      </c>
    </row>
    <row r="93" spans="1:8" x14ac:dyDescent="0.3">
      <c r="A93" s="3">
        <v>10120</v>
      </c>
      <c r="B93" s="3">
        <v>47</v>
      </c>
      <c r="C93" s="4">
        <v>82.21</v>
      </c>
      <c r="D93" s="4">
        <v>3863.87</v>
      </c>
      <c r="E93" s="5">
        <v>37740</v>
      </c>
      <c r="F93" s="3" t="s">
        <v>81</v>
      </c>
      <c r="G93" s="3" t="s">
        <v>30</v>
      </c>
      <c r="H93" s="3" t="s">
        <v>37</v>
      </c>
    </row>
    <row r="94" spans="1:8" x14ac:dyDescent="0.3">
      <c r="A94" s="3">
        <v>10169</v>
      </c>
      <c r="B94" s="3">
        <v>48</v>
      </c>
      <c r="C94" s="4">
        <v>80.55</v>
      </c>
      <c r="D94" s="4">
        <v>3866.4</v>
      </c>
      <c r="E94" s="5">
        <v>37929</v>
      </c>
      <c r="F94" s="3" t="s">
        <v>24</v>
      </c>
      <c r="G94" s="3" t="s">
        <v>53</v>
      </c>
      <c r="H94" s="3" t="s">
        <v>37</v>
      </c>
    </row>
    <row r="95" spans="1:8" x14ac:dyDescent="0.3">
      <c r="A95" s="3">
        <v>10361</v>
      </c>
      <c r="B95" s="3">
        <v>34</v>
      </c>
      <c r="C95" s="4">
        <v>100</v>
      </c>
      <c r="D95" s="4">
        <v>3871.92</v>
      </c>
      <c r="E95" s="5">
        <v>38338</v>
      </c>
      <c r="F95" s="3" t="s">
        <v>38</v>
      </c>
      <c r="G95" s="3" t="s">
        <v>53</v>
      </c>
      <c r="H95" s="3" t="s">
        <v>57</v>
      </c>
    </row>
    <row r="96" spans="1:8" x14ac:dyDescent="0.3">
      <c r="A96" s="3">
        <v>10420</v>
      </c>
      <c r="B96" s="3">
        <v>60</v>
      </c>
      <c r="C96" s="4">
        <v>64.67</v>
      </c>
      <c r="D96" s="4">
        <v>3880.2</v>
      </c>
      <c r="E96" s="5">
        <v>38501</v>
      </c>
      <c r="F96" s="3" t="s">
        <v>69</v>
      </c>
      <c r="G96" s="3" t="s">
        <v>44</v>
      </c>
      <c r="H96" s="3" t="s">
        <v>57</v>
      </c>
    </row>
    <row r="97" spans="1:8" x14ac:dyDescent="0.3">
      <c r="A97" s="3">
        <v>10370</v>
      </c>
      <c r="B97" s="3">
        <v>27</v>
      </c>
      <c r="C97" s="4">
        <v>100</v>
      </c>
      <c r="D97" s="4">
        <v>3911.49</v>
      </c>
      <c r="E97" s="5">
        <v>38372</v>
      </c>
      <c r="F97" s="3" t="s">
        <v>38</v>
      </c>
      <c r="G97" s="3" t="s">
        <v>53</v>
      </c>
      <c r="H97" s="3" t="s">
        <v>37</v>
      </c>
    </row>
    <row r="98" spans="1:8" x14ac:dyDescent="0.3">
      <c r="A98" s="3">
        <v>10169</v>
      </c>
      <c r="B98" s="3">
        <v>34</v>
      </c>
      <c r="C98" s="4">
        <v>100</v>
      </c>
      <c r="D98" s="4">
        <v>3920.88</v>
      </c>
      <c r="E98" s="5">
        <v>37929</v>
      </c>
      <c r="F98" s="3" t="s">
        <v>24</v>
      </c>
      <c r="G98" s="3" t="s">
        <v>53</v>
      </c>
      <c r="H98" s="3" t="s">
        <v>37</v>
      </c>
    </row>
    <row r="99" spans="1:8" x14ac:dyDescent="0.3">
      <c r="A99" s="3">
        <v>10420</v>
      </c>
      <c r="B99" s="3">
        <v>39</v>
      </c>
      <c r="C99" s="4">
        <v>100</v>
      </c>
      <c r="D99" s="4">
        <v>3933.93</v>
      </c>
      <c r="E99" s="5">
        <v>38501</v>
      </c>
      <c r="F99" s="3" t="s">
        <v>38</v>
      </c>
      <c r="G99" s="3" t="s">
        <v>44</v>
      </c>
      <c r="H99" s="3" t="s">
        <v>57</v>
      </c>
    </row>
    <row r="100" spans="1:8" x14ac:dyDescent="0.3">
      <c r="A100" s="3">
        <v>10347</v>
      </c>
      <c r="B100" s="3">
        <v>30</v>
      </c>
      <c r="C100" s="4">
        <v>100</v>
      </c>
      <c r="D100" s="4">
        <v>3944.7</v>
      </c>
      <c r="E100" s="5">
        <v>38320</v>
      </c>
      <c r="F100" s="3" t="s">
        <v>24</v>
      </c>
      <c r="G100" s="3" t="s">
        <v>30</v>
      </c>
      <c r="H100" s="3" t="s">
        <v>37</v>
      </c>
    </row>
    <row r="101" spans="1:8" x14ac:dyDescent="0.3">
      <c r="A101" s="3">
        <v>10370</v>
      </c>
      <c r="B101" s="3">
        <v>22</v>
      </c>
      <c r="C101" s="4">
        <v>100</v>
      </c>
      <c r="D101" s="4">
        <v>3949</v>
      </c>
      <c r="E101" s="5">
        <v>38372</v>
      </c>
      <c r="F101" s="3" t="s">
        <v>38</v>
      </c>
      <c r="G101" s="3" t="s">
        <v>53</v>
      </c>
      <c r="H101" s="3" t="s">
        <v>57</v>
      </c>
    </row>
    <row r="102" spans="1:8" x14ac:dyDescent="0.3">
      <c r="A102" s="3">
        <v>10223</v>
      </c>
      <c r="B102" s="3">
        <v>37</v>
      </c>
      <c r="C102" s="4">
        <v>100</v>
      </c>
      <c r="D102" s="4">
        <v>3965.66</v>
      </c>
      <c r="E102" s="5">
        <v>38037</v>
      </c>
      <c r="F102" s="3" t="s">
        <v>69</v>
      </c>
      <c r="G102" s="3" t="s">
        <v>44</v>
      </c>
      <c r="H102" s="3" t="s">
        <v>37</v>
      </c>
    </row>
    <row r="103" spans="1:8" x14ac:dyDescent="0.3">
      <c r="A103" s="3">
        <v>10391</v>
      </c>
      <c r="B103" s="3">
        <v>24</v>
      </c>
      <c r="C103" s="4">
        <v>100</v>
      </c>
      <c r="D103" s="4">
        <v>4042.08</v>
      </c>
      <c r="E103" s="5">
        <v>38420</v>
      </c>
      <c r="F103" s="3" t="s">
        <v>38</v>
      </c>
      <c r="G103" s="3" t="s">
        <v>44</v>
      </c>
      <c r="H103" s="3" t="s">
        <v>57</v>
      </c>
    </row>
    <row r="104" spans="1:8" x14ac:dyDescent="0.3">
      <c r="A104" s="3">
        <v>10270</v>
      </c>
      <c r="B104" s="3">
        <v>46</v>
      </c>
      <c r="C104" s="4">
        <v>88</v>
      </c>
      <c r="D104" s="4">
        <v>4048</v>
      </c>
      <c r="E104" s="5">
        <v>38187</v>
      </c>
      <c r="F104" s="3" t="s">
        <v>69</v>
      </c>
      <c r="G104" s="3" t="s">
        <v>44</v>
      </c>
      <c r="H104" s="3" t="s">
        <v>37</v>
      </c>
    </row>
    <row r="105" spans="1:8" x14ac:dyDescent="0.3">
      <c r="A105" s="3">
        <v>10270</v>
      </c>
      <c r="B105" s="3">
        <v>28</v>
      </c>
      <c r="C105" s="4">
        <v>100</v>
      </c>
      <c r="D105" s="4">
        <v>4094.72</v>
      </c>
      <c r="E105" s="5">
        <v>38187</v>
      </c>
      <c r="F105" s="3" t="s">
        <v>24</v>
      </c>
      <c r="G105" s="3" t="s">
        <v>53</v>
      </c>
      <c r="H105" s="3" t="s">
        <v>57</v>
      </c>
    </row>
    <row r="106" spans="1:8" x14ac:dyDescent="0.3">
      <c r="A106" s="3">
        <v>10270</v>
      </c>
      <c r="B106" s="3">
        <v>43</v>
      </c>
      <c r="C106" s="4">
        <v>96.84</v>
      </c>
      <c r="D106" s="4">
        <v>4164.12</v>
      </c>
      <c r="E106" s="5">
        <v>38187</v>
      </c>
      <c r="F106" s="3" t="s">
        <v>63</v>
      </c>
      <c r="G106" s="3" t="s">
        <v>44</v>
      </c>
      <c r="H106" s="3" t="s">
        <v>37</v>
      </c>
    </row>
    <row r="107" spans="1:8" x14ac:dyDescent="0.3">
      <c r="A107" s="3">
        <v>10148</v>
      </c>
      <c r="B107" s="3">
        <v>25</v>
      </c>
      <c r="C107" s="4">
        <v>100</v>
      </c>
      <c r="D107" s="4">
        <v>4232</v>
      </c>
      <c r="E107" s="5">
        <v>37875</v>
      </c>
      <c r="F107" s="3" t="s">
        <v>38</v>
      </c>
      <c r="G107" s="3" t="s">
        <v>30</v>
      </c>
      <c r="H107" s="3" t="s">
        <v>37</v>
      </c>
    </row>
    <row r="108" spans="1:8" x14ac:dyDescent="0.3">
      <c r="A108" s="3">
        <v>10361</v>
      </c>
      <c r="B108" s="3">
        <v>35</v>
      </c>
      <c r="C108" s="4">
        <v>100</v>
      </c>
      <c r="D108" s="4">
        <v>4277.3500000000004</v>
      </c>
      <c r="E108" s="5">
        <v>38338</v>
      </c>
      <c r="F108" s="3" t="s">
        <v>24</v>
      </c>
      <c r="G108" s="3" t="s">
        <v>30</v>
      </c>
      <c r="H108" s="3" t="s">
        <v>57</v>
      </c>
    </row>
    <row r="109" spans="1:8" x14ac:dyDescent="0.3">
      <c r="A109" s="3">
        <v>10270</v>
      </c>
      <c r="B109" s="3">
        <v>32</v>
      </c>
      <c r="C109" s="4">
        <v>100</v>
      </c>
      <c r="D109" s="4">
        <v>4302.08</v>
      </c>
      <c r="E109" s="5">
        <v>38187</v>
      </c>
      <c r="F109" s="3" t="s">
        <v>24</v>
      </c>
      <c r="G109" s="3" t="s">
        <v>53</v>
      </c>
      <c r="H109" s="3" t="s">
        <v>57</v>
      </c>
    </row>
    <row r="110" spans="1:8" x14ac:dyDescent="0.3">
      <c r="A110" s="3">
        <v>10148</v>
      </c>
      <c r="B110" s="3">
        <v>34</v>
      </c>
      <c r="C110" s="4">
        <v>100</v>
      </c>
      <c r="D110" s="4">
        <v>4392.12</v>
      </c>
      <c r="E110" s="5">
        <v>37875</v>
      </c>
      <c r="F110" s="3" t="s">
        <v>63</v>
      </c>
      <c r="G110" s="3" t="s">
        <v>53</v>
      </c>
      <c r="H110" s="3" t="s">
        <v>57</v>
      </c>
    </row>
    <row r="111" spans="1:8" x14ac:dyDescent="0.3">
      <c r="A111" s="3">
        <v>10347</v>
      </c>
      <c r="B111" s="3">
        <v>27</v>
      </c>
      <c r="C111" s="4">
        <v>100</v>
      </c>
      <c r="D111" s="4">
        <v>4428</v>
      </c>
      <c r="E111" s="5">
        <v>38320</v>
      </c>
      <c r="F111" s="3" t="s">
        <v>81</v>
      </c>
      <c r="G111" s="3" t="s">
        <v>30</v>
      </c>
      <c r="H111" s="3" t="s">
        <v>37</v>
      </c>
    </row>
    <row r="112" spans="1:8" x14ac:dyDescent="0.3">
      <c r="A112" s="3">
        <v>10169</v>
      </c>
      <c r="B112" s="3">
        <v>36</v>
      </c>
      <c r="C112" s="4">
        <v>100</v>
      </c>
      <c r="D112" s="4">
        <v>4444.92</v>
      </c>
      <c r="E112" s="5">
        <v>37929</v>
      </c>
      <c r="F112" s="3" t="s">
        <v>38</v>
      </c>
      <c r="G112" s="3" t="s">
        <v>44</v>
      </c>
      <c r="H112" s="3" t="s">
        <v>37</v>
      </c>
    </row>
    <row r="113" spans="1:8" x14ac:dyDescent="0.3">
      <c r="A113" s="3">
        <v>10169</v>
      </c>
      <c r="B113" s="3">
        <v>35</v>
      </c>
      <c r="C113" s="4">
        <v>100</v>
      </c>
      <c r="D113" s="4">
        <v>4639.25</v>
      </c>
      <c r="E113" s="5">
        <v>37929</v>
      </c>
      <c r="F113" s="3" t="s">
        <v>38</v>
      </c>
      <c r="G113" s="3" t="s">
        <v>30</v>
      </c>
      <c r="H113" s="3" t="s">
        <v>57</v>
      </c>
    </row>
    <row r="114" spans="1:8" x14ac:dyDescent="0.3">
      <c r="A114" s="3">
        <v>10120</v>
      </c>
      <c r="B114" s="3">
        <v>39</v>
      </c>
      <c r="C114" s="4">
        <v>100</v>
      </c>
      <c r="D114" s="4">
        <v>4651.53</v>
      </c>
      <c r="E114" s="5">
        <v>37740</v>
      </c>
      <c r="F114" s="3" t="s">
        <v>38</v>
      </c>
      <c r="G114" s="3" t="s">
        <v>30</v>
      </c>
      <c r="H114" s="3" t="s">
        <v>37</v>
      </c>
    </row>
    <row r="115" spans="1:8" x14ac:dyDescent="0.3">
      <c r="A115" s="3">
        <v>10223</v>
      </c>
      <c r="B115" s="3">
        <v>47</v>
      </c>
      <c r="C115" s="4">
        <v>100</v>
      </c>
      <c r="D115" s="4">
        <v>4724.91</v>
      </c>
      <c r="E115" s="5">
        <v>38037</v>
      </c>
      <c r="F115" s="3" t="s">
        <v>69</v>
      </c>
      <c r="G115" s="3" t="s">
        <v>44</v>
      </c>
      <c r="H115" s="3" t="s">
        <v>60</v>
      </c>
    </row>
    <row r="116" spans="1:8" x14ac:dyDescent="0.3">
      <c r="A116" s="3">
        <v>10270</v>
      </c>
      <c r="B116" s="3">
        <v>38</v>
      </c>
      <c r="C116" s="4">
        <v>100</v>
      </c>
      <c r="D116" s="4">
        <v>4775.08</v>
      </c>
      <c r="E116" s="5">
        <v>38187</v>
      </c>
      <c r="F116" s="3" t="s">
        <v>63</v>
      </c>
      <c r="G116" s="3" t="s">
        <v>30</v>
      </c>
      <c r="H116" s="3" t="s">
        <v>57</v>
      </c>
    </row>
    <row r="117" spans="1:8" x14ac:dyDescent="0.3">
      <c r="A117" s="3">
        <v>10347</v>
      </c>
      <c r="B117" s="3">
        <v>48</v>
      </c>
      <c r="C117" s="4">
        <v>100</v>
      </c>
      <c r="D117" s="4">
        <v>4814.3999999999996</v>
      </c>
      <c r="E117" s="5">
        <v>38320</v>
      </c>
      <c r="F117" s="3" t="s">
        <v>69</v>
      </c>
      <c r="G117" s="3" t="s">
        <v>53</v>
      </c>
      <c r="H117" s="3" t="s">
        <v>37</v>
      </c>
    </row>
    <row r="118" spans="1:8" x14ac:dyDescent="0.3">
      <c r="A118" s="3">
        <v>10347</v>
      </c>
      <c r="B118" s="3">
        <v>21</v>
      </c>
      <c r="C118" s="4">
        <v>100</v>
      </c>
      <c r="D118" s="4">
        <v>4815.3</v>
      </c>
      <c r="E118" s="5">
        <v>38320</v>
      </c>
      <c r="F118" s="3" t="s">
        <v>38</v>
      </c>
      <c r="G118" s="3" t="s">
        <v>30</v>
      </c>
      <c r="H118" s="3" t="s">
        <v>37</v>
      </c>
    </row>
    <row r="119" spans="1:8" x14ac:dyDescent="0.3">
      <c r="A119" s="3">
        <v>10270</v>
      </c>
      <c r="B119" s="3">
        <v>21</v>
      </c>
      <c r="C119" s="4">
        <v>100</v>
      </c>
      <c r="D119" s="4">
        <v>4905.3900000000003</v>
      </c>
      <c r="E119" s="5">
        <v>38187</v>
      </c>
      <c r="F119" s="3" t="s">
        <v>63</v>
      </c>
      <c r="G119" s="3" t="s">
        <v>44</v>
      </c>
      <c r="H119" s="3" t="s">
        <v>37</v>
      </c>
    </row>
    <row r="120" spans="1:8" x14ac:dyDescent="0.3">
      <c r="A120" s="3">
        <v>10169</v>
      </c>
      <c r="B120" s="3">
        <v>33</v>
      </c>
      <c r="C120" s="4">
        <v>100</v>
      </c>
      <c r="D120" s="4">
        <v>4910.3999999999996</v>
      </c>
      <c r="E120" s="5">
        <v>37929</v>
      </c>
      <c r="F120" s="3" t="s">
        <v>81</v>
      </c>
      <c r="G120" s="3" t="s">
        <v>30</v>
      </c>
      <c r="H120" s="3" t="s">
        <v>37</v>
      </c>
    </row>
    <row r="121" spans="1:8" x14ac:dyDescent="0.3">
      <c r="A121" s="3">
        <v>10347</v>
      </c>
      <c r="B121" s="3">
        <v>45</v>
      </c>
      <c r="C121" s="4">
        <v>100</v>
      </c>
      <c r="D121" s="4">
        <v>4948.2</v>
      </c>
      <c r="E121" s="5">
        <v>38320</v>
      </c>
      <c r="F121" s="3" t="s">
        <v>63</v>
      </c>
      <c r="G121" s="3" t="s">
        <v>53</v>
      </c>
      <c r="H121" s="3" t="s">
        <v>57</v>
      </c>
    </row>
    <row r="122" spans="1:8" x14ac:dyDescent="0.3">
      <c r="A122" s="3">
        <v>10420</v>
      </c>
      <c r="B122" s="3">
        <v>45</v>
      </c>
      <c r="C122" s="4">
        <v>100</v>
      </c>
      <c r="D122" s="4">
        <v>4977</v>
      </c>
      <c r="E122" s="5">
        <v>38501</v>
      </c>
      <c r="F122" s="3" t="s">
        <v>69</v>
      </c>
      <c r="G122" s="3" t="s">
        <v>44</v>
      </c>
      <c r="H122" s="3" t="s">
        <v>57</v>
      </c>
    </row>
    <row r="123" spans="1:8" x14ac:dyDescent="0.3">
      <c r="A123" s="3">
        <v>10391</v>
      </c>
      <c r="B123" s="3">
        <v>42</v>
      </c>
      <c r="C123" s="4">
        <v>100</v>
      </c>
      <c r="D123" s="4">
        <v>4998</v>
      </c>
      <c r="E123" s="5">
        <v>38420</v>
      </c>
      <c r="F123" s="3" t="s">
        <v>81</v>
      </c>
      <c r="G123" s="3" t="s">
        <v>44</v>
      </c>
      <c r="H123" s="3" t="s">
        <v>37</v>
      </c>
    </row>
    <row r="124" spans="1:8" x14ac:dyDescent="0.3">
      <c r="A124" s="3">
        <v>10361</v>
      </c>
      <c r="B124" s="3">
        <v>44</v>
      </c>
      <c r="C124" s="4">
        <v>100</v>
      </c>
      <c r="D124" s="4">
        <v>5001.92</v>
      </c>
      <c r="E124" s="5">
        <v>38338</v>
      </c>
      <c r="F124" s="3" t="s">
        <v>81</v>
      </c>
      <c r="G124" s="3" t="s">
        <v>44</v>
      </c>
      <c r="H124" s="3" t="s">
        <v>37</v>
      </c>
    </row>
    <row r="125" spans="1:8" x14ac:dyDescent="0.3">
      <c r="A125" s="3">
        <v>10342</v>
      </c>
      <c r="B125" s="3">
        <v>42</v>
      </c>
      <c r="C125" s="4">
        <v>100</v>
      </c>
      <c r="D125" s="4">
        <v>5013.54</v>
      </c>
      <c r="E125" s="5">
        <v>38315</v>
      </c>
      <c r="F125" s="3" t="s">
        <v>69</v>
      </c>
      <c r="G125" s="3" t="s">
        <v>44</v>
      </c>
      <c r="H125" s="3" t="s">
        <v>37</v>
      </c>
    </row>
    <row r="126" spans="1:8" x14ac:dyDescent="0.3">
      <c r="A126" s="3">
        <v>10169</v>
      </c>
      <c r="B126" s="3">
        <v>30</v>
      </c>
      <c r="C126" s="4">
        <v>100</v>
      </c>
      <c r="D126" s="4">
        <v>5019.8999999999996</v>
      </c>
      <c r="E126" s="5">
        <v>37929</v>
      </c>
      <c r="F126" s="3" t="s">
        <v>69</v>
      </c>
      <c r="G126" s="3" t="s">
        <v>30</v>
      </c>
      <c r="H126" s="3" t="s">
        <v>37</v>
      </c>
    </row>
    <row r="127" spans="1:8" x14ac:dyDescent="0.3">
      <c r="A127" s="3">
        <v>10342</v>
      </c>
      <c r="B127" s="3">
        <v>30</v>
      </c>
      <c r="C127" s="4">
        <v>100</v>
      </c>
      <c r="D127" s="4">
        <v>5029.5</v>
      </c>
      <c r="E127" s="5">
        <v>38315</v>
      </c>
      <c r="F127" s="3" t="s">
        <v>63</v>
      </c>
      <c r="G127" s="3" t="s">
        <v>30</v>
      </c>
      <c r="H127" s="3" t="s">
        <v>37</v>
      </c>
    </row>
    <row r="128" spans="1:8" x14ac:dyDescent="0.3">
      <c r="A128" s="3">
        <v>10420</v>
      </c>
      <c r="B128" s="3">
        <v>37</v>
      </c>
      <c r="C128" s="4">
        <v>100</v>
      </c>
      <c r="D128" s="4">
        <v>5283.6</v>
      </c>
      <c r="E128" s="5">
        <v>38501</v>
      </c>
      <c r="F128" s="3" t="s">
        <v>69</v>
      </c>
      <c r="G128" s="3" t="s">
        <v>44</v>
      </c>
      <c r="H128" s="3" t="s">
        <v>57</v>
      </c>
    </row>
    <row r="129" spans="1:8" x14ac:dyDescent="0.3">
      <c r="A129" s="3">
        <v>10420</v>
      </c>
      <c r="B129" s="3">
        <v>55</v>
      </c>
      <c r="C129" s="4">
        <v>96.3</v>
      </c>
      <c r="D129" s="4">
        <v>5296.5</v>
      </c>
      <c r="E129" s="5">
        <v>38501</v>
      </c>
      <c r="F129" s="3" t="s">
        <v>24</v>
      </c>
      <c r="G129" s="3" t="s">
        <v>30</v>
      </c>
      <c r="H129" s="3" t="s">
        <v>60</v>
      </c>
    </row>
    <row r="130" spans="1:8" x14ac:dyDescent="0.3">
      <c r="A130" s="3">
        <v>10270</v>
      </c>
      <c r="B130" s="3">
        <v>38</v>
      </c>
      <c r="C130" s="4">
        <v>100</v>
      </c>
      <c r="D130" s="4">
        <v>5383.08</v>
      </c>
      <c r="E130" s="5">
        <v>38187</v>
      </c>
      <c r="F130" s="3" t="s">
        <v>24</v>
      </c>
      <c r="G130" s="3" t="s">
        <v>30</v>
      </c>
      <c r="H130" s="3" t="s">
        <v>57</v>
      </c>
    </row>
    <row r="131" spans="1:8" x14ac:dyDescent="0.3">
      <c r="A131" s="3">
        <v>10148</v>
      </c>
      <c r="B131" s="3">
        <v>32</v>
      </c>
      <c r="C131" s="4">
        <v>100</v>
      </c>
      <c r="D131" s="4">
        <v>5418.88</v>
      </c>
      <c r="E131" s="5">
        <v>37875</v>
      </c>
      <c r="F131" s="3" t="s">
        <v>69</v>
      </c>
      <c r="G131" s="3" t="s">
        <v>44</v>
      </c>
      <c r="H131" s="3" t="s">
        <v>37</v>
      </c>
    </row>
    <row r="132" spans="1:8" x14ac:dyDescent="0.3">
      <c r="A132" s="3">
        <v>10223</v>
      </c>
      <c r="B132" s="3">
        <v>47</v>
      </c>
      <c r="C132" s="4">
        <v>100</v>
      </c>
      <c r="D132" s="4">
        <v>5422.39</v>
      </c>
      <c r="E132" s="5">
        <v>38037</v>
      </c>
      <c r="F132" s="3" t="s">
        <v>38</v>
      </c>
      <c r="G132" s="3" t="s">
        <v>44</v>
      </c>
      <c r="H132" s="3" t="s">
        <v>37</v>
      </c>
    </row>
    <row r="133" spans="1:8" x14ac:dyDescent="0.3">
      <c r="A133" s="3">
        <v>10139</v>
      </c>
      <c r="B133" s="3">
        <v>46</v>
      </c>
      <c r="C133" s="4">
        <v>100</v>
      </c>
      <c r="D133" s="4">
        <v>5545.76</v>
      </c>
      <c r="E133" s="5">
        <v>37818</v>
      </c>
      <c r="F133" s="3" t="s">
        <v>24</v>
      </c>
      <c r="G133" s="3" t="s">
        <v>30</v>
      </c>
      <c r="H133" s="3" t="s">
        <v>37</v>
      </c>
    </row>
    <row r="134" spans="1:8" x14ac:dyDescent="0.3">
      <c r="A134" s="3">
        <v>10391</v>
      </c>
      <c r="B134" s="3">
        <v>35</v>
      </c>
      <c r="C134" s="4">
        <v>100</v>
      </c>
      <c r="D134" s="4">
        <v>5548.9</v>
      </c>
      <c r="E134" s="5">
        <v>38420</v>
      </c>
      <c r="F134" s="3" t="s">
        <v>38</v>
      </c>
      <c r="G134" s="3" t="s">
        <v>53</v>
      </c>
      <c r="H134" s="3" t="s">
        <v>37</v>
      </c>
    </row>
    <row r="135" spans="1:8" x14ac:dyDescent="0.3">
      <c r="A135" s="3">
        <v>10148</v>
      </c>
      <c r="B135" s="3">
        <v>47</v>
      </c>
      <c r="C135" s="4">
        <v>100</v>
      </c>
      <c r="D135" s="4">
        <v>5848.68</v>
      </c>
      <c r="E135" s="5">
        <v>37875</v>
      </c>
      <c r="F135" s="3" t="s">
        <v>81</v>
      </c>
      <c r="G135" s="3" t="s">
        <v>30</v>
      </c>
      <c r="H135" s="3" t="s">
        <v>37</v>
      </c>
    </row>
    <row r="136" spans="1:8" x14ac:dyDescent="0.3">
      <c r="A136" s="3">
        <v>10347</v>
      </c>
      <c r="B136" s="3">
        <v>45</v>
      </c>
      <c r="C136" s="4">
        <v>100</v>
      </c>
      <c r="D136" s="4">
        <v>5884.65</v>
      </c>
      <c r="E136" s="5">
        <v>38320</v>
      </c>
      <c r="F136" s="3" t="s">
        <v>38</v>
      </c>
      <c r="G136" s="3" t="s">
        <v>53</v>
      </c>
      <c r="H136" s="3" t="s">
        <v>57</v>
      </c>
    </row>
    <row r="137" spans="1:8" x14ac:dyDescent="0.3">
      <c r="A137" s="3">
        <v>10420</v>
      </c>
      <c r="B137" s="3">
        <v>66</v>
      </c>
      <c r="C137" s="4">
        <v>92.95</v>
      </c>
      <c r="D137" s="4">
        <v>6134.7</v>
      </c>
      <c r="E137" s="5">
        <v>38501</v>
      </c>
      <c r="F137" s="3" t="s">
        <v>69</v>
      </c>
      <c r="G137" s="3" t="s">
        <v>30</v>
      </c>
      <c r="H137" s="3" t="s">
        <v>37</v>
      </c>
    </row>
    <row r="138" spans="1:8" x14ac:dyDescent="0.3">
      <c r="A138" s="3">
        <v>10342</v>
      </c>
      <c r="B138" s="3">
        <v>38</v>
      </c>
      <c r="C138" s="4">
        <v>100</v>
      </c>
      <c r="D138" s="4">
        <v>6276.46</v>
      </c>
      <c r="E138" s="5">
        <v>38315</v>
      </c>
      <c r="F138" s="3" t="s">
        <v>38</v>
      </c>
      <c r="G138" s="3" t="s">
        <v>30</v>
      </c>
      <c r="H138" s="3" t="s">
        <v>57</v>
      </c>
    </row>
    <row r="139" spans="1:8" x14ac:dyDescent="0.3">
      <c r="A139" s="3">
        <v>10342</v>
      </c>
      <c r="B139" s="3">
        <v>40</v>
      </c>
      <c r="C139" s="4">
        <v>100</v>
      </c>
      <c r="D139" s="4">
        <v>6454.4</v>
      </c>
      <c r="E139" s="5">
        <v>38315</v>
      </c>
      <c r="F139" s="3" t="s">
        <v>24</v>
      </c>
      <c r="G139" s="6" t="s">
        <v>30</v>
      </c>
      <c r="H139" s="3" t="s">
        <v>60</v>
      </c>
    </row>
    <row r="140" spans="1:8" x14ac:dyDescent="0.3">
      <c r="A140" s="3">
        <v>10125</v>
      </c>
      <c r="B140" s="3">
        <v>34</v>
      </c>
      <c r="C140" s="4">
        <v>100</v>
      </c>
      <c r="D140" s="4">
        <v>6483.46</v>
      </c>
      <c r="E140" s="5">
        <v>37762</v>
      </c>
      <c r="F140" s="3" t="s">
        <v>63</v>
      </c>
      <c r="G140" s="3" t="s">
        <v>53</v>
      </c>
      <c r="H140" s="3" t="s">
        <v>60</v>
      </c>
    </row>
    <row r="141" spans="1:8" x14ac:dyDescent="0.3">
      <c r="A141" s="3">
        <v>10342</v>
      </c>
      <c r="B141" s="3">
        <v>55</v>
      </c>
      <c r="C141" s="4">
        <v>100</v>
      </c>
      <c r="D141" s="4">
        <v>6548.3</v>
      </c>
      <c r="E141" s="5">
        <v>38315</v>
      </c>
      <c r="F141" s="3" t="s">
        <v>69</v>
      </c>
      <c r="G141" s="3" t="s">
        <v>44</v>
      </c>
      <c r="H141" s="3" t="s">
        <v>57</v>
      </c>
    </row>
    <row r="142" spans="1:8" x14ac:dyDescent="0.3">
      <c r="A142" s="3">
        <v>10347</v>
      </c>
      <c r="B142" s="3">
        <v>50</v>
      </c>
      <c r="C142" s="4">
        <v>100</v>
      </c>
      <c r="D142" s="4">
        <v>6834.5</v>
      </c>
      <c r="E142" s="5">
        <v>38320</v>
      </c>
      <c r="F142" s="3" t="s">
        <v>63</v>
      </c>
      <c r="G142" s="3" t="s">
        <v>30</v>
      </c>
      <c r="H142" s="3" t="s">
        <v>37</v>
      </c>
    </row>
    <row r="143" spans="1:8" x14ac:dyDescent="0.3">
      <c r="A143" s="3">
        <v>10139</v>
      </c>
      <c r="B143" s="3">
        <v>41</v>
      </c>
      <c r="C143" s="4">
        <v>100</v>
      </c>
      <c r="D143" s="4">
        <v>7956.46</v>
      </c>
      <c r="E143" s="5">
        <v>37818</v>
      </c>
      <c r="F143" s="3" t="s">
        <v>38</v>
      </c>
      <c r="G143" s="3" t="s">
        <v>30</v>
      </c>
      <c r="H143" s="3" t="s">
        <v>37</v>
      </c>
    </row>
    <row r="144" spans="1:8" x14ac:dyDescent="0.3">
      <c r="A144" s="3">
        <v>10391</v>
      </c>
      <c r="B144" s="3">
        <v>33</v>
      </c>
      <c r="C144" s="4">
        <v>100</v>
      </c>
      <c r="D144" s="4">
        <v>8344.7099999999991</v>
      </c>
      <c r="E144" s="5">
        <v>38420</v>
      </c>
      <c r="F144" s="3" t="s">
        <v>38</v>
      </c>
      <c r="G144" s="3" t="s">
        <v>30</v>
      </c>
      <c r="H144" s="3" t="s">
        <v>37</v>
      </c>
    </row>
    <row r="145" spans="1:8" x14ac:dyDescent="0.3">
      <c r="A145" s="3">
        <v>10370</v>
      </c>
      <c r="B145" s="3">
        <v>49</v>
      </c>
      <c r="C145" s="4">
        <v>100</v>
      </c>
      <c r="D145" s="4">
        <v>8470.14</v>
      </c>
      <c r="E145" s="5">
        <v>38372</v>
      </c>
      <c r="F145" s="3" t="s">
        <v>38</v>
      </c>
      <c r="G145" s="3" t="s">
        <v>44</v>
      </c>
      <c r="H145" s="3" t="s">
        <v>37</v>
      </c>
    </row>
    <row r="146" spans="1:8" x14ac:dyDescent="0.3">
      <c r="A146" s="3">
        <v>10120</v>
      </c>
      <c r="B146" s="3">
        <v>46</v>
      </c>
      <c r="C146" s="4">
        <v>100</v>
      </c>
      <c r="D146" s="4">
        <v>9264.86</v>
      </c>
      <c r="E146" s="5">
        <v>37740</v>
      </c>
      <c r="F146" s="3" t="s">
        <v>38</v>
      </c>
      <c r="G146" s="3" t="s">
        <v>44</v>
      </c>
      <c r="H146" s="3" t="s">
        <v>37</v>
      </c>
    </row>
    <row r="147" spans="1:8" x14ac:dyDescent="0.3">
      <c r="A147" s="3">
        <v>10223</v>
      </c>
      <c r="B147" s="3">
        <v>49</v>
      </c>
      <c r="C147" s="4">
        <v>100</v>
      </c>
      <c r="D147" s="4">
        <v>9774.0300000000007</v>
      </c>
      <c r="E147" s="5">
        <v>38037</v>
      </c>
      <c r="F147" s="3" t="s">
        <v>69</v>
      </c>
      <c r="G147" s="3" t="s">
        <v>44</v>
      </c>
      <c r="H147" s="3" t="s">
        <v>37</v>
      </c>
    </row>
  </sheetData>
  <sortState xmlns:xlrd2="http://schemas.microsoft.com/office/spreadsheetml/2017/richdata2" ref="A2:H147">
    <sortCondition ref="D2"/>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ort_By">
                <anchor moveWithCells="1" sizeWithCells="1">
                  <from>
                    <xdr:col>8</xdr:col>
                    <xdr:colOff>601980</xdr:colOff>
                    <xdr:row>1</xdr:row>
                    <xdr:rowOff>0</xdr:rowOff>
                  </from>
                  <to>
                    <xdr:col>9</xdr:col>
                    <xdr:colOff>1440180</xdr:colOff>
                    <xdr:row>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B8535-110A-4B94-9975-55BEF59F7089}">
  <sheetPr codeName="Sheet2"/>
  <dimension ref="A2:C22"/>
  <sheetViews>
    <sheetView topLeftCell="A2" zoomScale="69" workbookViewId="0">
      <selection activeCell="C41" sqref="C40:C41"/>
    </sheetView>
  </sheetViews>
  <sheetFormatPr defaultRowHeight="14.4" x14ac:dyDescent="0.3"/>
  <cols>
    <col min="1" max="1" width="16.5546875" bestFit="1" customWidth="1"/>
    <col min="2" max="2" width="13.109375" bestFit="1" customWidth="1"/>
    <col min="3" max="3" width="83.77734375" customWidth="1"/>
    <col min="4" max="5" width="11.21875" bestFit="1" customWidth="1"/>
    <col min="6" max="6" width="10.109375" bestFit="1" customWidth="1"/>
    <col min="7" max="10" width="11.21875" bestFit="1" customWidth="1"/>
    <col min="11" max="11" width="10.109375" bestFit="1" customWidth="1"/>
    <col min="12" max="13" width="11.21875" bestFit="1" customWidth="1"/>
    <col min="14" max="14" width="10.109375" bestFit="1" customWidth="1"/>
    <col min="15" max="22" width="11.21875" bestFit="1" customWidth="1"/>
    <col min="23" max="24" width="10.109375" bestFit="1" customWidth="1"/>
    <col min="25" max="25" width="11.21875" bestFit="1" customWidth="1"/>
    <col min="26" max="26" width="10.109375" bestFit="1" customWidth="1"/>
    <col min="27" max="32" width="11.21875" bestFit="1" customWidth="1"/>
    <col min="33" max="33" width="10.109375" bestFit="1" customWidth="1"/>
    <col min="34" max="34" width="11.21875" bestFit="1" customWidth="1"/>
    <col min="35" max="36" width="10.109375" bestFit="1" customWidth="1"/>
    <col min="37" max="37" width="12.88671875" bestFit="1" customWidth="1"/>
  </cols>
  <sheetData>
    <row r="2" spans="1:3" ht="25.2" x14ac:dyDescent="0.6">
      <c r="A2" s="24" t="s">
        <v>154</v>
      </c>
      <c r="B2" s="24"/>
      <c r="C2" s="24"/>
    </row>
    <row r="3" spans="1:3" ht="21" x14ac:dyDescent="0.4">
      <c r="A3" s="31" t="s">
        <v>153</v>
      </c>
      <c r="B3" s="31"/>
      <c r="C3" s="31"/>
    </row>
    <row r="15" spans="1:3" x14ac:dyDescent="0.3">
      <c r="A15" s="7" t="s">
        <v>139</v>
      </c>
      <c r="B15" t="s">
        <v>166</v>
      </c>
      <c r="C15" t="s">
        <v>138</v>
      </c>
    </row>
    <row r="16" spans="1:3" x14ac:dyDescent="0.3">
      <c r="A16" s="8" t="s">
        <v>38</v>
      </c>
      <c r="B16" s="1">
        <v>167950.15</v>
      </c>
      <c r="C16">
        <v>1504</v>
      </c>
    </row>
    <row r="17" spans="1:3" x14ac:dyDescent="0.3">
      <c r="A17" s="8" t="s">
        <v>24</v>
      </c>
      <c r="B17" s="1">
        <v>75760.73</v>
      </c>
      <c r="C17">
        <v>736</v>
      </c>
    </row>
    <row r="18" spans="1:3" x14ac:dyDescent="0.3">
      <c r="A18" s="8" t="s">
        <v>81</v>
      </c>
      <c r="B18" s="1">
        <v>63983.590000000011</v>
      </c>
      <c r="C18">
        <v>684</v>
      </c>
    </row>
    <row r="19" spans="1:3" x14ac:dyDescent="0.3">
      <c r="A19" s="8" t="s">
        <v>130</v>
      </c>
      <c r="B19" s="1">
        <v>1707.14</v>
      </c>
      <c r="C19">
        <v>34</v>
      </c>
    </row>
    <row r="20" spans="1:3" x14ac:dyDescent="0.3">
      <c r="A20" s="8" t="s">
        <v>63</v>
      </c>
      <c r="B20" s="1">
        <v>64049.279999999999</v>
      </c>
      <c r="C20">
        <v>592</v>
      </c>
    </row>
    <row r="21" spans="1:3" x14ac:dyDescent="0.3">
      <c r="A21" s="8" t="s">
        <v>69</v>
      </c>
      <c r="B21" s="1">
        <v>131660.63000000003</v>
      </c>
      <c r="C21">
        <v>1426</v>
      </c>
    </row>
    <row r="22" spans="1:3" x14ac:dyDescent="0.3">
      <c r="A22" s="8" t="s">
        <v>140</v>
      </c>
      <c r="B22" s="1">
        <v>505111.52</v>
      </c>
      <c r="C22">
        <v>4976</v>
      </c>
    </row>
  </sheetData>
  <mergeCells count="1">
    <mergeCell ref="A3:C3"/>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A5E3E-A336-49F0-9DC2-84C23D6C0C66}">
  <sheetPr codeName="Sheet3"/>
  <dimension ref="A2:E19"/>
  <sheetViews>
    <sheetView zoomScale="84" zoomScaleNormal="68" workbookViewId="0">
      <selection activeCell="F25" sqref="F25"/>
    </sheetView>
  </sheetViews>
  <sheetFormatPr defaultRowHeight="14.4" x14ac:dyDescent="0.3"/>
  <cols>
    <col min="1" max="1" width="15.77734375" bestFit="1" customWidth="1"/>
    <col min="2" max="2" width="16.5546875" bestFit="1" customWidth="1"/>
    <col min="3" max="3" width="12.44140625" bestFit="1" customWidth="1"/>
    <col min="4" max="4" width="12.88671875" bestFit="1" customWidth="1"/>
    <col min="5" max="5" width="31" customWidth="1"/>
    <col min="6" max="6" width="15.77734375" bestFit="1" customWidth="1"/>
    <col min="7" max="8" width="12.109375" bestFit="1" customWidth="1"/>
  </cols>
  <sheetData>
    <row r="2" spans="1:5" ht="25.2" x14ac:dyDescent="0.6">
      <c r="A2" s="24" t="s">
        <v>155</v>
      </c>
      <c r="B2" s="24"/>
      <c r="C2" s="24"/>
      <c r="D2" s="24"/>
      <c r="E2" s="24"/>
    </row>
    <row r="3" spans="1:5" ht="18" x14ac:dyDescent="0.35">
      <c r="A3" s="32" t="s">
        <v>156</v>
      </c>
      <c r="B3" s="32"/>
      <c r="C3" s="32"/>
      <c r="D3" s="32"/>
      <c r="E3" s="32"/>
    </row>
    <row r="11" spans="1:5" x14ac:dyDescent="0.3">
      <c r="A11" s="7" t="s">
        <v>166</v>
      </c>
      <c r="B11" s="7" t="s">
        <v>152</v>
      </c>
    </row>
    <row r="12" spans="1:5" x14ac:dyDescent="0.3">
      <c r="A12" s="7" t="s">
        <v>139</v>
      </c>
      <c r="B12" t="s">
        <v>44</v>
      </c>
      <c r="C12" t="s">
        <v>30</v>
      </c>
      <c r="D12" t="s">
        <v>53</v>
      </c>
      <c r="E12" t="s">
        <v>140</v>
      </c>
    </row>
    <row r="13" spans="1:5" x14ac:dyDescent="0.3">
      <c r="A13" s="8" t="s">
        <v>38</v>
      </c>
      <c r="B13" s="1">
        <v>45522.76</v>
      </c>
      <c r="C13" s="1">
        <v>52096.649999999994</v>
      </c>
      <c r="D13" s="1">
        <v>70330.739999999991</v>
      </c>
      <c r="E13" s="1">
        <v>167950.15</v>
      </c>
    </row>
    <row r="14" spans="1:5" x14ac:dyDescent="0.3">
      <c r="A14" s="8" t="s">
        <v>24</v>
      </c>
      <c r="B14" s="1">
        <v>2083.1999999999998</v>
      </c>
      <c r="C14" s="1">
        <v>52871.44</v>
      </c>
      <c r="D14" s="1">
        <v>20806.090000000004</v>
      </c>
      <c r="E14" s="1">
        <v>75760.73000000001</v>
      </c>
    </row>
    <row r="15" spans="1:5" x14ac:dyDescent="0.3">
      <c r="A15" s="8" t="s">
        <v>81</v>
      </c>
      <c r="B15" s="1">
        <v>23999.649999999998</v>
      </c>
      <c r="C15" s="1">
        <v>39983.94</v>
      </c>
      <c r="D15" s="1"/>
      <c r="E15" s="1">
        <v>63983.59</v>
      </c>
    </row>
    <row r="16" spans="1:5" x14ac:dyDescent="0.3">
      <c r="A16" s="8" t="s">
        <v>130</v>
      </c>
      <c r="B16" s="1">
        <v>1707.14</v>
      </c>
      <c r="C16" s="1"/>
      <c r="D16" s="1"/>
      <c r="E16" s="1">
        <v>1707.14</v>
      </c>
    </row>
    <row r="17" spans="1:5" x14ac:dyDescent="0.3">
      <c r="A17" s="8" t="s">
        <v>63</v>
      </c>
      <c r="B17" s="1">
        <v>15441.14</v>
      </c>
      <c r="C17" s="1">
        <v>19106.98</v>
      </c>
      <c r="D17" s="1">
        <v>29501.160000000003</v>
      </c>
      <c r="E17" s="1">
        <v>64049.279999999999</v>
      </c>
    </row>
    <row r="18" spans="1:5" x14ac:dyDescent="0.3">
      <c r="A18" s="8" t="s">
        <v>69</v>
      </c>
      <c r="B18" s="1">
        <v>77787.44</v>
      </c>
      <c r="C18" s="1">
        <v>33167.68</v>
      </c>
      <c r="D18" s="1">
        <v>20705.509999999998</v>
      </c>
      <c r="E18" s="1">
        <v>131660.63</v>
      </c>
    </row>
    <row r="19" spans="1:5" x14ac:dyDescent="0.3">
      <c r="A19" s="8" t="s">
        <v>140</v>
      </c>
      <c r="B19" s="1">
        <v>166541.33000000002</v>
      </c>
      <c r="C19" s="1">
        <v>197226.69</v>
      </c>
      <c r="D19" s="1">
        <v>141343.5</v>
      </c>
      <c r="E19" s="1">
        <v>505111.52</v>
      </c>
    </row>
  </sheetData>
  <mergeCells count="1">
    <mergeCell ref="A3:E3"/>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46D4D-E115-411E-B1E4-6484E3C19CE9}">
  <sheetPr codeName="Sheet4"/>
  <dimension ref="A2:E21"/>
  <sheetViews>
    <sheetView zoomScale="60" workbookViewId="0">
      <selection activeCell="N49" sqref="N49"/>
    </sheetView>
  </sheetViews>
  <sheetFormatPr defaultRowHeight="14.4" x14ac:dyDescent="0.3"/>
  <cols>
    <col min="1" max="1" width="18.6640625" bestFit="1" customWidth="1"/>
    <col min="2" max="2" width="15.5546875" bestFit="1" customWidth="1"/>
    <col min="3" max="4" width="12.109375" bestFit="1" customWidth="1"/>
    <col min="5" max="5" width="25.5546875" customWidth="1"/>
    <col min="14" max="14" width="18.6640625" bestFit="1" customWidth="1"/>
    <col min="15" max="15" width="15.5546875" bestFit="1" customWidth="1"/>
    <col min="16" max="18" width="12.109375" bestFit="1" customWidth="1"/>
  </cols>
  <sheetData>
    <row r="2" spans="1:5" ht="25.2" x14ac:dyDescent="0.6">
      <c r="A2" s="24" t="s">
        <v>157</v>
      </c>
      <c r="B2" s="24"/>
      <c r="C2" s="24"/>
      <c r="D2" s="24"/>
      <c r="E2" s="24"/>
    </row>
    <row r="3" spans="1:5" ht="18" x14ac:dyDescent="0.35">
      <c r="A3" s="32" t="s">
        <v>158</v>
      </c>
      <c r="B3" s="32"/>
      <c r="C3" s="32"/>
      <c r="D3" s="32"/>
      <c r="E3" s="32"/>
    </row>
    <row r="13" spans="1:5" x14ac:dyDescent="0.3">
      <c r="A13" s="7" t="s">
        <v>141</v>
      </c>
      <c r="B13" s="7" t="s">
        <v>152</v>
      </c>
    </row>
    <row r="14" spans="1:5" x14ac:dyDescent="0.3">
      <c r="A14" s="7" t="s">
        <v>139</v>
      </c>
      <c r="B14" t="s">
        <v>48</v>
      </c>
      <c r="C14" t="s">
        <v>56</v>
      </c>
      <c r="D14" t="s">
        <v>36</v>
      </c>
      <c r="E14" t="s">
        <v>140</v>
      </c>
    </row>
    <row r="15" spans="1:5" x14ac:dyDescent="0.3">
      <c r="A15" s="8" t="s">
        <v>38</v>
      </c>
      <c r="B15" s="1">
        <v>36681.130000000005</v>
      </c>
      <c r="C15" s="1">
        <v>74492.239999999991</v>
      </c>
      <c r="D15" s="1">
        <v>50697.09</v>
      </c>
      <c r="E15" s="1">
        <v>161870.46</v>
      </c>
    </row>
    <row r="16" spans="1:5" x14ac:dyDescent="0.3">
      <c r="A16" s="8" t="s">
        <v>24</v>
      </c>
      <c r="B16" s="1">
        <v>1329.9</v>
      </c>
      <c r="C16" s="1">
        <v>18877.11</v>
      </c>
      <c r="D16" s="1">
        <v>53818.659999999996</v>
      </c>
      <c r="E16" s="1">
        <v>74025.67</v>
      </c>
    </row>
    <row r="17" spans="1:5" x14ac:dyDescent="0.3">
      <c r="A17" s="8" t="s">
        <v>81</v>
      </c>
      <c r="B17" s="1">
        <v>23893.329999999994</v>
      </c>
      <c r="C17" s="1"/>
      <c r="D17" s="1">
        <v>39878.759999999995</v>
      </c>
      <c r="E17" s="1">
        <v>63772.089999999989</v>
      </c>
    </row>
    <row r="18" spans="1:5" x14ac:dyDescent="0.3">
      <c r="A18" s="8" t="s">
        <v>130</v>
      </c>
      <c r="B18" s="1">
        <v>1089.3599999999999</v>
      </c>
      <c r="C18" s="1"/>
      <c r="D18" s="1"/>
      <c r="E18" s="1">
        <v>1089.3599999999999</v>
      </c>
    </row>
    <row r="19" spans="1:5" x14ac:dyDescent="0.3">
      <c r="A19" s="8" t="s">
        <v>63</v>
      </c>
      <c r="B19" s="1">
        <v>17715.309999999998</v>
      </c>
      <c r="C19" s="1">
        <v>29916.87</v>
      </c>
      <c r="D19" s="1">
        <v>18388.78</v>
      </c>
      <c r="E19" s="1">
        <v>66020.959999999992</v>
      </c>
    </row>
    <row r="20" spans="1:5" x14ac:dyDescent="0.3">
      <c r="A20" s="8" t="s">
        <v>69</v>
      </c>
      <c r="B20" s="1">
        <v>69410.95</v>
      </c>
      <c r="C20" s="1">
        <v>30709.909999999996</v>
      </c>
      <c r="D20" s="1">
        <v>38212.120000000003</v>
      </c>
      <c r="E20" s="1">
        <v>138332.97999999998</v>
      </c>
    </row>
    <row r="21" spans="1:5" x14ac:dyDescent="0.3">
      <c r="A21" s="8" t="s">
        <v>140</v>
      </c>
      <c r="B21" s="1">
        <v>150119.97999999998</v>
      </c>
      <c r="C21" s="1">
        <v>153996.12999999998</v>
      </c>
      <c r="D21" s="1">
        <v>200995.41</v>
      </c>
      <c r="E21" s="1">
        <v>505111.5199999999</v>
      </c>
    </row>
  </sheetData>
  <mergeCells count="1">
    <mergeCell ref="A3:E3"/>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FC7F6-6820-45C4-A896-824CC6BB58DE}">
  <sheetPr codeName="Sheet5"/>
  <dimension ref="A2:C24"/>
  <sheetViews>
    <sheetView tabSelected="1" zoomScale="76" workbookViewId="0">
      <selection activeCell="E30" sqref="E30"/>
    </sheetView>
  </sheetViews>
  <sheetFormatPr defaultRowHeight="14.4" x14ac:dyDescent="0.3"/>
  <cols>
    <col min="1" max="1" width="13.5546875" bestFit="1" customWidth="1"/>
    <col min="2" max="2" width="18.6640625" bestFit="1" customWidth="1"/>
    <col min="3" max="3" width="51.88671875" customWidth="1"/>
    <col min="13" max="13" width="12.5546875" bestFit="1" customWidth="1"/>
    <col min="14" max="14" width="18.6640625" bestFit="1" customWidth="1"/>
    <col min="15" max="15" width="24.5546875" bestFit="1" customWidth="1"/>
  </cols>
  <sheetData>
    <row r="2" spans="1:3" ht="25.2" x14ac:dyDescent="0.6">
      <c r="A2" s="24" t="s">
        <v>160</v>
      </c>
      <c r="B2" s="24"/>
      <c r="C2" s="24"/>
    </row>
    <row r="3" spans="1:3" ht="18" x14ac:dyDescent="0.35">
      <c r="A3" s="32" t="s">
        <v>159</v>
      </c>
      <c r="B3" s="32"/>
      <c r="C3" s="32"/>
    </row>
    <row r="14" spans="1:3" x14ac:dyDescent="0.3">
      <c r="A14" s="7" t="s">
        <v>139</v>
      </c>
      <c r="B14" t="s">
        <v>141</v>
      </c>
      <c r="C14" t="s">
        <v>138</v>
      </c>
    </row>
    <row r="15" spans="1:3" x14ac:dyDescent="0.3">
      <c r="A15" s="8" t="s">
        <v>142</v>
      </c>
      <c r="B15" s="1">
        <v>26691.919999999998</v>
      </c>
      <c r="C15">
        <v>231</v>
      </c>
    </row>
    <row r="16" spans="1:3" x14ac:dyDescent="0.3">
      <c r="A16" s="8" t="s">
        <v>143</v>
      </c>
      <c r="B16" s="1">
        <v>47442.91</v>
      </c>
      <c r="C16">
        <v>418</v>
      </c>
    </row>
    <row r="17" spans="1:3" x14ac:dyDescent="0.3">
      <c r="A17" s="8" t="s">
        <v>144</v>
      </c>
      <c r="B17" s="1">
        <v>70220.38</v>
      </c>
      <c r="C17">
        <v>764</v>
      </c>
    </row>
    <row r="18" spans="1:3" x14ac:dyDescent="0.3">
      <c r="A18" s="8" t="s">
        <v>145</v>
      </c>
      <c r="B18" s="1">
        <v>48481.919999999991</v>
      </c>
      <c r="C18">
        <v>504</v>
      </c>
    </row>
    <row r="19" spans="1:3" x14ac:dyDescent="0.3">
      <c r="A19" s="8" t="s">
        <v>146</v>
      </c>
      <c r="B19" s="1">
        <v>47191.76</v>
      </c>
      <c r="C19">
        <v>430</v>
      </c>
    </row>
    <row r="20" spans="1:3" x14ac:dyDescent="0.3">
      <c r="A20" s="8" t="s">
        <v>151</v>
      </c>
      <c r="B20" s="1">
        <v>9738.18</v>
      </c>
      <c r="C20">
        <v>66</v>
      </c>
    </row>
    <row r="21" spans="1:3" x14ac:dyDescent="0.3">
      <c r="A21" s="8" t="s">
        <v>147</v>
      </c>
      <c r="B21" s="1">
        <v>81002.840000000011</v>
      </c>
      <c r="C21">
        <v>741</v>
      </c>
    </row>
    <row r="22" spans="1:3" x14ac:dyDescent="0.3">
      <c r="A22" s="8" t="s">
        <v>148</v>
      </c>
      <c r="B22" s="1">
        <v>95028.14999999998</v>
      </c>
      <c r="C22">
        <v>888</v>
      </c>
    </row>
    <row r="23" spans="1:3" x14ac:dyDescent="0.3">
      <c r="A23" s="8" t="s">
        <v>150</v>
      </c>
      <c r="B23" s="1">
        <v>79313.459999999992</v>
      </c>
      <c r="C23">
        <v>934</v>
      </c>
    </row>
    <row r="24" spans="1:3" x14ac:dyDescent="0.3">
      <c r="A24" s="8" t="s">
        <v>140</v>
      </c>
      <c r="B24" s="1">
        <v>505111.52</v>
      </c>
      <c r="C24">
        <v>4976</v>
      </c>
    </row>
  </sheetData>
  <mergeCells count="1">
    <mergeCell ref="A3:C3"/>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03CC8-2669-4C4D-AE07-40060734D645}">
  <dimension ref="A1:E12"/>
  <sheetViews>
    <sheetView zoomScale="52" zoomScaleNormal="82" workbookViewId="0">
      <selection activeCell="A24" sqref="A24"/>
    </sheetView>
  </sheetViews>
  <sheetFormatPr defaultRowHeight="14.4" x14ac:dyDescent="0.3"/>
  <cols>
    <col min="1" max="1" width="65.21875" bestFit="1" customWidth="1"/>
    <col min="2" max="2" width="129.44140625" bestFit="1" customWidth="1"/>
    <col min="3" max="3" width="136.77734375" bestFit="1" customWidth="1"/>
    <col min="4" max="4" width="232.6640625" bestFit="1" customWidth="1"/>
    <col min="5" max="5" width="34.21875" bestFit="1" customWidth="1"/>
  </cols>
  <sheetData>
    <row r="1" spans="1:5" ht="43.8" x14ac:dyDescent="1.05">
      <c r="A1" s="30" t="s">
        <v>175</v>
      </c>
    </row>
    <row r="2" spans="1:5" ht="37.200000000000003" customHeight="1" x14ac:dyDescent="0.3"/>
    <row r="3" spans="1:5" s="29" customFormat="1" ht="36.6" x14ac:dyDescent="0.7">
      <c r="A3" s="28" t="s">
        <v>176</v>
      </c>
      <c r="B3" s="28" t="s">
        <v>209</v>
      </c>
      <c r="C3" s="28" t="s">
        <v>208</v>
      </c>
      <c r="D3" s="28" t="s">
        <v>177</v>
      </c>
      <c r="E3" s="28" t="s">
        <v>179</v>
      </c>
    </row>
    <row r="4" spans="1:5" s="25" customFormat="1" ht="28.8" customHeight="1" x14ac:dyDescent="0.4">
      <c r="A4" s="25">
        <v>1</v>
      </c>
      <c r="B4" s="25" t="s">
        <v>182</v>
      </c>
      <c r="C4" s="26" t="s">
        <v>207</v>
      </c>
      <c r="D4" s="25" t="s">
        <v>183</v>
      </c>
      <c r="E4" s="25" t="s">
        <v>37</v>
      </c>
    </row>
    <row r="5" spans="1:5" s="25" customFormat="1" ht="36" customHeight="1" x14ac:dyDescent="0.4">
      <c r="A5" s="25">
        <v>2</v>
      </c>
      <c r="B5" s="25" t="s">
        <v>184</v>
      </c>
      <c r="C5" s="25" t="s">
        <v>185</v>
      </c>
      <c r="D5" s="25" t="s">
        <v>203</v>
      </c>
      <c r="E5" s="25" t="s">
        <v>178</v>
      </c>
    </row>
    <row r="6" spans="1:5" s="25" customFormat="1" ht="42" customHeight="1" x14ac:dyDescent="0.4">
      <c r="A6" s="25">
        <v>3</v>
      </c>
      <c r="B6" s="25" t="s">
        <v>186</v>
      </c>
      <c r="C6" s="25" t="s">
        <v>187</v>
      </c>
      <c r="D6" s="25" t="s">
        <v>188</v>
      </c>
      <c r="E6" s="25" t="s">
        <v>37</v>
      </c>
    </row>
    <row r="7" spans="1:5" s="25" customFormat="1" ht="42" customHeight="1" x14ac:dyDescent="0.4">
      <c r="A7" s="25">
        <v>4</v>
      </c>
      <c r="B7" s="25" t="s">
        <v>189</v>
      </c>
      <c r="C7" s="25" t="s">
        <v>190</v>
      </c>
      <c r="D7" s="25" t="s">
        <v>191</v>
      </c>
      <c r="E7" s="25" t="s">
        <v>178</v>
      </c>
    </row>
    <row r="8" spans="1:5" s="25" customFormat="1" ht="42" customHeight="1" x14ac:dyDescent="0.4">
      <c r="A8" s="25">
        <v>5</v>
      </c>
      <c r="B8" s="25" t="s">
        <v>180</v>
      </c>
      <c r="C8" s="25" t="s">
        <v>192</v>
      </c>
      <c r="D8" s="25" t="s">
        <v>193</v>
      </c>
      <c r="E8" s="25" t="s">
        <v>181</v>
      </c>
    </row>
    <row r="9" spans="1:5" s="25" customFormat="1" ht="42" customHeight="1" x14ac:dyDescent="0.4">
      <c r="A9" s="25">
        <v>6</v>
      </c>
      <c r="B9" s="25" t="s">
        <v>194</v>
      </c>
      <c r="C9" s="25" t="s">
        <v>195</v>
      </c>
      <c r="D9" s="25" t="s">
        <v>196</v>
      </c>
      <c r="E9" s="25" t="s">
        <v>178</v>
      </c>
    </row>
    <row r="10" spans="1:5" s="25" customFormat="1" ht="42" customHeight="1" x14ac:dyDescent="0.4">
      <c r="A10" s="25">
        <v>7</v>
      </c>
      <c r="B10" s="25" t="s">
        <v>197</v>
      </c>
      <c r="C10" s="25" t="s">
        <v>198</v>
      </c>
      <c r="D10" s="25" t="s">
        <v>199</v>
      </c>
      <c r="E10" s="25" t="s">
        <v>37</v>
      </c>
    </row>
    <row r="11" spans="1:5" s="25" customFormat="1" ht="42" customHeight="1" x14ac:dyDescent="0.4">
      <c r="A11" s="25">
        <v>8</v>
      </c>
      <c r="B11" s="25" t="s">
        <v>200</v>
      </c>
      <c r="C11" s="25" t="s">
        <v>201</v>
      </c>
      <c r="D11" s="25" t="s">
        <v>202</v>
      </c>
      <c r="E11" s="25" t="s">
        <v>37</v>
      </c>
    </row>
    <row r="12" spans="1:5" s="25" customFormat="1" ht="52.2" customHeight="1" x14ac:dyDescent="0.4">
      <c r="A12" s="25">
        <v>9</v>
      </c>
      <c r="B12" s="27" t="s">
        <v>206</v>
      </c>
      <c r="C12" s="25" t="s">
        <v>204</v>
      </c>
      <c r="D12" s="25" t="s">
        <v>205</v>
      </c>
      <c r="E12" s="25" t="s">
        <v>178</v>
      </c>
    </row>
  </sheetData>
  <pageMargins left="0.7" right="0.7" top="0.75" bottom="0.75" header="0.3" footer="0.3"/>
  <pageSetup orientation="portrait"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RAW DATA</vt:lpstr>
      <vt:lpstr>CLEANED REPORT </vt:lpstr>
      <vt:lpstr>PRODUCTLINE SALES </vt:lpstr>
      <vt:lpstr>CITY SALES </vt:lpstr>
      <vt:lpstr>CUSTOMER SALES </vt:lpstr>
      <vt:lpstr>MOTHLY SALES </vt:lpstr>
      <vt:lpstr>BUSINESS ACTION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Malavya Gupta</cp:lastModifiedBy>
  <dcterms:created xsi:type="dcterms:W3CDTF">2025-11-15T04:24:17Z</dcterms:created>
  <dcterms:modified xsi:type="dcterms:W3CDTF">2025-11-17T04:44:55Z</dcterms:modified>
</cp:coreProperties>
</file>